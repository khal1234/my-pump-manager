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istrator\Documents\individual file\PIU\"/>
    </mc:Choice>
  </mc:AlternateContent>
  <xr:revisionPtr revIDLastSave="0" documentId="13_ncr:1_{5B5CF1E6-8B38-4961-B4A6-C10CA3A248B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db" sheetId="1" r:id="rId1"/>
    <sheet name="카테고리" sheetId="2" r:id="rId2"/>
    <sheet name="Sheet2" sheetId="3" r:id="rId3"/>
  </sheets>
  <definedNames>
    <definedName name="_xlnm._FilterDatabase" localSheetId="1" hidden="1">카테고리!$A$1:$C$1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4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37" i="2"/>
  <c r="C38" i="2"/>
  <c r="C39" i="2"/>
  <c r="C40" i="2"/>
  <c r="C24" i="2"/>
  <c r="C27" i="2"/>
  <c r="C28" i="2"/>
  <c r="C29" i="2"/>
  <c r="C30" i="2"/>
  <c r="C31" i="2"/>
  <c r="C32" i="2"/>
  <c r="C33" i="2"/>
  <c r="C34" i="2"/>
  <c r="C2" i="2"/>
  <c r="C36" i="2"/>
  <c r="C25" i="2"/>
  <c r="C26" i="2"/>
  <c r="C41" i="2"/>
  <c r="C22" i="2"/>
  <c r="C23" i="2"/>
  <c r="C35" i="2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2" i="1"/>
</calcChain>
</file>

<file path=xl/sharedStrings.xml><?xml version="1.0" encoding="utf-8"?>
<sst xmlns="http://schemas.openxmlformats.org/spreadsheetml/2006/main" count="848" uniqueCount="396">
  <si>
    <t>Song Title</t>
  </si>
  <si>
    <t>Artist</t>
  </si>
  <si>
    <t>Category</t>
  </si>
  <si>
    <t>Package</t>
  </si>
  <si>
    <t>Addition</t>
  </si>
  <si>
    <t>K-pop</t>
  </si>
  <si>
    <t>S_1</t>
  </si>
  <si>
    <t>S_2</t>
  </si>
  <si>
    <t>S_3</t>
  </si>
  <si>
    <t>S_4</t>
  </si>
  <si>
    <t>S_5</t>
  </si>
  <si>
    <t>S_6</t>
  </si>
  <si>
    <t>S_7</t>
  </si>
  <si>
    <t>D_1</t>
  </si>
  <si>
    <t>D_2</t>
  </si>
  <si>
    <t>D_3</t>
  </si>
  <si>
    <t>D_4</t>
  </si>
  <si>
    <t>D_5</t>
  </si>
  <si>
    <t>D_6</t>
  </si>
  <si>
    <t>D_7</t>
  </si>
  <si>
    <t>GAME</t>
  </si>
  <si>
    <t>DJMAX</t>
  </si>
  <si>
    <t>ALiCE</t>
  </si>
  <si>
    <t>seibin</t>
  </si>
  <si>
    <t>Only For You</t>
  </si>
  <si>
    <t>NieN</t>
  </si>
  <si>
    <t>달의 하루</t>
  </si>
  <si>
    <t>Karma (염라)</t>
  </si>
  <si>
    <t>Glory Day (Mintorment Remix)</t>
  </si>
  <si>
    <t>BEXTER x Mycin.T</t>
  </si>
  <si>
    <t>Karma - FULL SONG -</t>
  </si>
  <si>
    <t>LOL</t>
  </si>
  <si>
    <t>More</t>
  </si>
  <si>
    <t>K/DA</t>
  </si>
  <si>
    <t>Bread - FULL SONG -</t>
  </si>
  <si>
    <t>노라조</t>
  </si>
  <si>
    <t>mogi</t>
  </si>
  <si>
    <t>みきとP / 이광수</t>
  </si>
  <si>
    <t>Arcaea</t>
  </si>
  <si>
    <t>Tempestissimo</t>
  </si>
  <si>
    <t>t+pazolite</t>
  </si>
  <si>
    <t>Black Cat</t>
  </si>
  <si>
    <t>BEXTER</t>
  </si>
  <si>
    <t>Hyun feat. LyuU</t>
  </si>
  <si>
    <t>Flowering - FULL SONG -</t>
  </si>
  <si>
    <t>I want You ~Twinkle Twinkle sunshine~</t>
  </si>
  <si>
    <t>Lin-G</t>
  </si>
  <si>
    <t>Trrricksters!!</t>
  </si>
  <si>
    <t>s-don vs. Hino Isuka</t>
  </si>
  <si>
    <t>Welcome to the Space</t>
  </si>
  <si>
    <t>Pory</t>
  </si>
  <si>
    <t>Do it!</t>
  </si>
  <si>
    <t>팀 별빛 우주선</t>
  </si>
  <si>
    <t>Don_t die</t>
  </si>
  <si>
    <t>Paul Bazooka</t>
  </si>
  <si>
    <t>End of Mythology</t>
  </si>
  <si>
    <t>Alice Schach and the Magic Orchestra</t>
  </si>
  <si>
    <t>Old Gold</t>
  </si>
  <si>
    <t>Cranky</t>
  </si>
  <si>
    <t>PHARM OF CHARM</t>
  </si>
  <si>
    <t>patexum</t>
  </si>
  <si>
    <t>Remember Me</t>
  </si>
  <si>
    <t>얼불춤</t>
  </si>
  <si>
    <t>Sinkhole</t>
  </si>
  <si>
    <t>Plum</t>
  </si>
  <si>
    <t>이적</t>
  </si>
  <si>
    <t>Stoning</t>
  </si>
  <si>
    <t>이적 feat. 김진표</t>
  </si>
  <si>
    <t>Armageddon</t>
  </si>
  <si>
    <t>Leaf</t>
  </si>
  <si>
    <t>BMS</t>
  </si>
  <si>
    <t>B.B.K.K.B.K.K</t>
  </si>
  <si>
    <t>nora2r</t>
  </si>
  <si>
    <t>VOEZ</t>
  </si>
  <si>
    <t>Cross+Revolution (feat. LyuU)</t>
  </si>
  <si>
    <t>DP_1</t>
  </si>
  <si>
    <t>CO_1</t>
  </si>
  <si>
    <t>Oshama Scramble!</t>
  </si>
  <si>
    <t>Dance of the Dead</t>
  </si>
  <si>
    <t>Crossroads - FULL SONG -</t>
  </si>
  <si>
    <t>Setsuna Trip - FULL SONG -</t>
  </si>
  <si>
    <t>QZKago Requiem</t>
  </si>
  <si>
    <t>BRAIN POWER</t>
  </si>
  <si>
    <t>Chronomia</t>
  </si>
  <si>
    <t>Dream it</t>
  </si>
  <si>
    <t>Bamboo</t>
  </si>
  <si>
    <t>Long Shot</t>
  </si>
  <si>
    <t>SON OF SUN</t>
  </si>
  <si>
    <t>Long Shot - FULL SONG -</t>
  </si>
  <si>
    <t>Realize - FULL SONG -</t>
  </si>
  <si>
    <t>Glasya-Labolas - FULL SONG -</t>
  </si>
  <si>
    <t>Roki</t>
  </si>
  <si>
    <t>Redo - FULL SONG -</t>
  </si>
  <si>
    <t>CRY</t>
  </si>
  <si>
    <t>Flowering</t>
  </si>
  <si>
    <t>Russian Roulette</t>
  </si>
  <si>
    <t>Dustwind</t>
  </si>
  <si>
    <t>BLACK or WHITE</t>
  </si>
  <si>
    <t>Midnight Trickster</t>
  </si>
  <si>
    <t>L</t>
  </si>
  <si>
    <t>Terrasphere</t>
  </si>
  <si>
    <t>Daisycutter</t>
  </si>
  <si>
    <t>Paradisus-Paradoxum - FULL SONG -</t>
  </si>
  <si>
    <t>Stay Alive(Remix)</t>
  </si>
  <si>
    <t>2 Indestructible Points</t>
  </si>
  <si>
    <t>BPM=RT</t>
  </si>
  <si>
    <t>ANiMA</t>
  </si>
  <si>
    <t>Believe in you</t>
  </si>
  <si>
    <t>FIRE BIRD</t>
  </si>
  <si>
    <t>666</t>
  </si>
  <si>
    <t>777</t>
  </si>
  <si>
    <t>It's over. but NOT FOR ME</t>
  </si>
  <si>
    <t>Mad Piano Party</t>
  </si>
  <si>
    <t>R</t>
  </si>
  <si>
    <t>Henceforth - FULL SONG -</t>
  </si>
  <si>
    <t>FIRE BIRD - FULL SONG -</t>
  </si>
  <si>
    <t>Theater D - FULL SONG -</t>
  </si>
  <si>
    <t>Straight Bet - FULL SONG -</t>
  </si>
  <si>
    <t>MAYHEM</t>
  </si>
  <si>
    <t>Pit a Pet</t>
  </si>
  <si>
    <t>Mozaik Role</t>
  </si>
  <si>
    <t>Blue Moon</t>
  </si>
  <si>
    <t>Ka</t>
  </si>
  <si>
    <t>Neo-Aspect</t>
  </si>
  <si>
    <t>EMOMOMO</t>
  </si>
  <si>
    <t>I</t>
  </si>
  <si>
    <t>Kamui</t>
  </si>
  <si>
    <t>Dangan Note</t>
  </si>
  <si>
    <t>maimai</t>
    <phoneticPr fontId="1" type="noConversion"/>
  </si>
  <si>
    <t>t+pazolite</t>
    <phoneticPr fontId="1" type="noConversion"/>
  </si>
  <si>
    <t>DJMAX</t>
    <phoneticPr fontId="1" type="noConversion"/>
  </si>
  <si>
    <t>GOTH</t>
    <phoneticPr fontId="1" type="noConversion"/>
  </si>
  <si>
    <t>At the Speed of light - FULL SONG -</t>
    <phoneticPr fontId="1" type="noConversion"/>
  </si>
  <si>
    <t>Geometry Dash</t>
    <phoneticPr fontId="1" type="noConversion"/>
  </si>
  <si>
    <t>Dimrain47</t>
    <phoneticPr fontId="1" type="noConversion"/>
  </si>
  <si>
    <t>여자친구</t>
    <phoneticPr fontId="1" type="noConversion"/>
  </si>
  <si>
    <t>GUMI</t>
    <phoneticPr fontId="1" type="noConversion"/>
  </si>
  <si>
    <t>Last Note.</t>
    <phoneticPr fontId="1" type="noConversion"/>
  </si>
  <si>
    <t>SOUND VOLTEX</t>
    <phoneticPr fontId="1" type="noConversion"/>
  </si>
  <si>
    <t>Noma</t>
    <phoneticPr fontId="1" type="noConversion"/>
  </si>
  <si>
    <t>BMS</t>
    <phoneticPr fontId="1" type="noConversion"/>
  </si>
  <si>
    <t>Lime</t>
    <phoneticPr fontId="1" type="noConversion"/>
  </si>
  <si>
    <t>BEXTER</t>
    <phoneticPr fontId="1" type="noConversion"/>
  </si>
  <si>
    <t>Rish feat. Choco</t>
    <phoneticPr fontId="1" type="noConversion"/>
  </si>
  <si>
    <t>Re: Zero</t>
    <phoneticPr fontId="1" type="noConversion"/>
  </si>
  <si>
    <t>nachamoroll</t>
    <phoneticPr fontId="1" type="noConversion"/>
  </si>
  <si>
    <t>Gabber</t>
    <phoneticPr fontId="1" type="noConversion"/>
  </si>
  <si>
    <t>Konomi Suzuki</t>
    <phoneticPr fontId="1" type="noConversion"/>
  </si>
  <si>
    <t>Team Grimoire vs siromaru</t>
    <phoneticPr fontId="1" type="noConversion"/>
  </si>
  <si>
    <t>Cover</t>
    <phoneticPr fontId="1" type="noConversion"/>
  </si>
  <si>
    <t>Mikito-P / Afterglow</t>
    <phoneticPr fontId="1" type="noConversion"/>
  </si>
  <si>
    <t>Xtrullor</t>
    <phoneticPr fontId="1" type="noConversion"/>
  </si>
  <si>
    <t>달의 하루</t>
    <phoneticPr fontId="1" type="noConversion"/>
  </si>
  <si>
    <t>레드벨벳</t>
    <phoneticPr fontId="1" type="noConversion"/>
  </si>
  <si>
    <t>COXETA</t>
    <phoneticPr fontId="1" type="noConversion"/>
  </si>
  <si>
    <t>Plum</t>
    <phoneticPr fontId="1" type="noConversion"/>
  </si>
  <si>
    <t>BlackYooh vs. siromaru</t>
    <phoneticPr fontId="1" type="noConversion"/>
  </si>
  <si>
    <t xml:space="preserve">UMEBOSHI CHAZUKE </t>
    <phoneticPr fontId="1" type="noConversion"/>
  </si>
  <si>
    <t>CYTUS</t>
    <phoneticPr fontId="1" type="noConversion"/>
  </si>
  <si>
    <t>ICE</t>
    <phoneticPr fontId="1" type="noConversion"/>
  </si>
  <si>
    <t>ETIA.</t>
    <phoneticPr fontId="1" type="noConversion"/>
  </si>
  <si>
    <t>MYTH&amp;ROID</t>
    <phoneticPr fontId="1" type="noConversion"/>
  </si>
  <si>
    <t>Rie Takahashi</t>
    <phoneticPr fontId="1" type="noConversion"/>
  </si>
  <si>
    <t>Synthwulf &amp; Matduke</t>
    <phoneticPr fontId="1" type="noConversion"/>
  </si>
  <si>
    <t>REMIX</t>
    <phoneticPr fontId="1" type="noConversion"/>
  </si>
  <si>
    <t>DEEMO</t>
    <phoneticPr fontId="1" type="noConversion"/>
  </si>
  <si>
    <t>xi</t>
    <phoneticPr fontId="1" type="noConversion"/>
  </si>
  <si>
    <t>Yukiko Okada</t>
    <phoneticPr fontId="1" type="noConversion"/>
  </si>
  <si>
    <t>BanG Dream!</t>
    <phoneticPr fontId="1" type="noConversion"/>
  </si>
  <si>
    <t>DDR</t>
    <phoneticPr fontId="1" type="noConversion"/>
  </si>
  <si>
    <t>deltaMAX</t>
    <phoneticPr fontId="1" type="noConversion"/>
  </si>
  <si>
    <t>DM Ashura</t>
    <phoneticPr fontId="1" type="noConversion"/>
  </si>
  <si>
    <t>SOUND VOLTEX</t>
  </si>
  <si>
    <t>RoughSketch</t>
    <phoneticPr fontId="1" type="noConversion"/>
  </si>
  <si>
    <t>LEC</t>
    <phoneticPr fontId="1" type="noConversion"/>
  </si>
  <si>
    <t>R2Beat</t>
  </si>
  <si>
    <t>R2Beat</t>
    <phoneticPr fontId="1" type="noConversion"/>
  </si>
  <si>
    <t>COXETA</t>
  </si>
  <si>
    <t>VOCALOID</t>
  </si>
  <si>
    <t>Orangestar / 히노모리 시호</t>
  </si>
  <si>
    <t>IA</t>
  </si>
  <si>
    <t>IA</t>
    <phoneticPr fontId="1" type="noConversion"/>
  </si>
  <si>
    <t>BanG Dream!</t>
  </si>
  <si>
    <t>Anime</t>
  </si>
  <si>
    <t>Re: Zero</t>
  </si>
  <si>
    <t>TAK</t>
    <phoneticPr fontId="1" type="noConversion"/>
  </si>
  <si>
    <t>GUMI</t>
  </si>
  <si>
    <t>DECO*27</t>
    <phoneticPr fontId="1" type="noConversion"/>
  </si>
  <si>
    <t>OVERAPID</t>
  </si>
  <si>
    <t>OVERAPID</t>
    <phoneticPr fontId="1" type="noConversion"/>
  </si>
  <si>
    <t>Taiko</t>
  </si>
  <si>
    <t>Taiko</t>
    <phoneticPr fontId="1" type="noConversion"/>
  </si>
  <si>
    <t>LeaF</t>
  </si>
  <si>
    <t>LeaF</t>
    <phoneticPr fontId="1" type="noConversion"/>
  </si>
  <si>
    <t>maimai</t>
  </si>
  <si>
    <t>Ras</t>
    <phoneticPr fontId="1" type="noConversion"/>
  </si>
  <si>
    <t>黒魔</t>
    <phoneticPr fontId="1" type="noConversion"/>
  </si>
  <si>
    <t>TJ.hangneil</t>
    <phoneticPr fontId="1" type="noConversion"/>
  </si>
  <si>
    <t>Chieruca Esotellica</t>
  </si>
  <si>
    <t>mirror mirror mirror</t>
  </si>
  <si>
    <t>Paradisus-Paradoxum</t>
  </si>
  <si>
    <t>A comparable Child Remix</t>
  </si>
  <si>
    <t>Anoyo-iki no Bus ni notte Saraba - FULL SONG -</t>
  </si>
  <si>
    <t>Chrome VOX - FULL SONG -</t>
  </si>
  <si>
    <t>KillerBeast - FULL SONG -</t>
  </si>
  <si>
    <t>KillerToy - FULL SONG -</t>
  </si>
  <si>
    <t>Plus Danshi - FULL SONG -</t>
  </si>
  <si>
    <t>R.I.O.T - FULL SONG -</t>
  </si>
  <si>
    <t>ROKI - FULL SONG -</t>
  </si>
  <si>
    <t>Hello 2021</t>
  </si>
  <si>
    <t>Good Day</t>
  </si>
  <si>
    <t>Next Level</t>
  </si>
  <si>
    <t>New Love</t>
  </si>
  <si>
    <t>We Could Get More Machinegun Psystyle! -And More Genre Switches-</t>
  </si>
  <si>
    <t>Unwelcome School</t>
  </si>
  <si>
    <t>Heart of Witch</t>
  </si>
  <si>
    <t>Nyarlathotep Trancecore mix</t>
  </si>
  <si>
    <t>Anoyo-iki no Bus ni notte Saraba</t>
  </si>
  <si>
    <t>Deep Sea Girl</t>
  </si>
  <si>
    <t>Monoclo Voice</t>
  </si>
  <si>
    <t>The Raindrop Flower ~jam-jam Remix~</t>
  </si>
  <si>
    <t>Time for the Full Moon</t>
  </si>
  <si>
    <t>A Site De Ra Lue (Extended Ver.)</t>
  </si>
  <si>
    <t>Shuten no saki ga aru to surunaraba - FULL SONG -</t>
  </si>
  <si>
    <t>Vegetable (Quree Remix)</t>
  </si>
  <si>
    <t>Crossroads</t>
  </si>
  <si>
    <t>Daydream</t>
  </si>
  <si>
    <t>Chrome VOX</t>
  </si>
  <si>
    <t>FALLING IN LOVE</t>
  </si>
  <si>
    <t>Black Gold</t>
  </si>
  <si>
    <t>Voyage</t>
  </si>
  <si>
    <t>Cirno's Perfect Math Class</t>
  </si>
  <si>
    <t>Ahoy!! Warera Houshou Kaizokudan</t>
  </si>
  <si>
    <t>Into The Night</t>
  </si>
  <si>
    <t>KING</t>
  </si>
  <si>
    <t>Melonaid</t>
  </si>
  <si>
    <t>Odysseus</t>
  </si>
  <si>
    <t>Into The Night - FULL SONG -</t>
  </si>
  <si>
    <t>ANiMA - FULL SONG -</t>
  </si>
  <si>
    <t>Hestryon</t>
  </si>
  <si>
    <t>Rough</t>
  </si>
  <si>
    <t>Chimera</t>
  </si>
  <si>
    <t>AXION</t>
  </si>
  <si>
    <t>Lyrith -Meikyuu Lyrith-</t>
  </si>
  <si>
    <t>Warriors</t>
  </si>
  <si>
    <t>Cross Destiny</t>
  </si>
  <si>
    <t>ATOPY</t>
  </si>
  <si>
    <t>Identity Part 2</t>
  </si>
  <si>
    <t>Lachryma《Re -Queen’M》</t>
  </si>
  <si>
    <t>LUV</t>
  </si>
  <si>
    <t>Nightmare</t>
  </si>
  <si>
    <t>Over Me</t>
  </si>
  <si>
    <t>Sweet On You</t>
  </si>
  <si>
    <t>Tic! Tac! Toe!</t>
  </si>
  <si>
    <t>Winners</t>
  </si>
  <si>
    <t>Apparition</t>
  </si>
  <si>
    <t>cosMo@暴走P</t>
    <phoneticPr fontId="1" type="noConversion"/>
  </si>
  <si>
    <t>tsumiki × yuu miyashita</t>
    <phoneticPr fontId="1" type="noConversion"/>
  </si>
  <si>
    <t>STYX HELIX (Digi-Rock Remix)</t>
    <phoneticPr fontId="1" type="noConversion"/>
  </si>
  <si>
    <t>J-pop</t>
  </si>
  <si>
    <t>TUYU</t>
  </si>
  <si>
    <t>TUYU</t>
    <phoneticPr fontId="1" type="noConversion"/>
  </si>
  <si>
    <t>CYTUS</t>
  </si>
  <si>
    <t>Rin, Len</t>
  </si>
  <si>
    <t>Rin, Len</t>
    <phoneticPr fontId="1" type="noConversion"/>
  </si>
  <si>
    <t>Yasuo-P</t>
    <phoneticPr fontId="1" type="noConversion"/>
  </si>
  <si>
    <t>Electric Angel - FULL SONG -</t>
    <phoneticPr fontId="1" type="noConversion"/>
  </si>
  <si>
    <t>cameliia</t>
    <phoneticPr fontId="1" type="noConversion"/>
  </si>
  <si>
    <t>Plum Megamix - FULL SONG -</t>
    <phoneticPr fontId="1" type="noConversion"/>
  </si>
  <si>
    <t>얼불춤</t>
    <phoneticPr fontId="1" type="noConversion"/>
  </si>
  <si>
    <t>Giga-P / Reol</t>
    <phoneticPr fontId="1" type="noConversion"/>
  </si>
  <si>
    <t>IU</t>
  </si>
  <si>
    <t>IU</t>
    <phoneticPr fontId="1" type="noConversion"/>
  </si>
  <si>
    <t>에스파</t>
  </si>
  <si>
    <t>에스파</t>
    <phoneticPr fontId="1" type="noConversion"/>
  </si>
  <si>
    <t>NCT U</t>
  </si>
  <si>
    <t>NCT U</t>
    <phoneticPr fontId="1" type="noConversion"/>
  </si>
  <si>
    <t>Blue Archive</t>
  </si>
  <si>
    <t>Blue Archive</t>
    <phoneticPr fontId="1" type="noConversion"/>
  </si>
  <si>
    <t>Mitsukiyo</t>
    <phoneticPr fontId="1" type="noConversion"/>
  </si>
  <si>
    <t>ReX</t>
  </si>
  <si>
    <t>ReX</t>
    <phoneticPr fontId="1" type="noConversion"/>
  </si>
  <si>
    <t>ORIGINAL</t>
  </si>
  <si>
    <t>REMIX</t>
  </si>
  <si>
    <t>Nato</t>
    <phoneticPr fontId="1" type="noConversion"/>
  </si>
  <si>
    <t>Roselia</t>
    <phoneticPr fontId="1" type="noConversion"/>
  </si>
  <si>
    <t>RAISE A SUILEN</t>
    <phoneticPr fontId="1" type="noConversion"/>
  </si>
  <si>
    <t>ゆうゆ / Morfonica</t>
    <phoneticPr fontId="1" type="noConversion"/>
  </si>
  <si>
    <t>Maplestory</t>
  </si>
  <si>
    <t>Maplestory</t>
    <phoneticPr fontId="1" type="noConversion"/>
  </si>
  <si>
    <t>KaLmia</t>
    <phoneticPr fontId="1" type="noConversion"/>
  </si>
  <si>
    <t>GFRIEND vs Dreamcatcher</t>
    <phoneticPr fontId="1" type="noConversion"/>
  </si>
  <si>
    <t>The Ultimate Harmagedon Remix</t>
    <phoneticPr fontId="1" type="noConversion"/>
  </si>
  <si>
    <t>EZ2</t>
    <phoneticPr fontId="1" type="noConversion"/>
  </si>
  <si>
    <t>STREME REVERIE</t>
    <phoneticPr fontId="1" type="noConversion"/>
  </si>
  <si>
    <t>노라조</t>
    <phoneticPr fontId="1" type="noConversion"/>
  </si>
  <si>
    <t>Mycin.T × SiNA</t>
  </si>
  <si>
    <t>Mycin.T × SiNA</t>
    <phoneticPr fontId="1" type="noConversion"/>
  </si>
  <si>
    <t>NieN</t>
    <phoneticPr fontId="1" type="noConversion"/>
  </si>
  <si>
    <t>Cranky</t>
    <phoneticPr fontId="1" type="noConversion"/>
  </si>
  <si>
    <t>SOPHI</t>
    <phoneticPr fontId="1" type="noConversion"/>
  </si>
  <si>
    <t>Geometry Dash</t>
  </si>
  <si>
    <t>DEEMO</t>
  </si>
  <si>
    <t>DDR</t>
  </si>
  <si>
    <t>Cover</t>
  </si>
  <si>
    <t>여자친구</t>
  </si>
  <si>
    <t>레드벨벳</t>
  </si>
  <si>
    <t>None</t>
    <phoneticPr fontId="1" type="noConversion"/>
  </si>
  <si>
    <t>IOSYS</t>
    <phoneticPr fontId="1" type="noConversion"/>
  </si>
  <si>
    <t>Houshou Marine</t>
    <phoneticPr fontId="1" type="noConversion"/>
  </si>
  <si>
    <t>hololive</t>
    <phoneticPr fontId="1" type="noConversion"/>
  </si>
  <si>
    <t>hololive</t>
    <phoneticPr fontId="11" type="noConversion"/>
  </si>
  <si>
    <t>YOASOBI</t>
    <phoneticPr fontId="1" type="noConversion"/>
  </si>
  <si>
    <t>YOASOBI</t>
    <phoneticPr fontId="11" type="noConversion"/>
  </si>
  <si>
    <t>Kanaria</t>
  </si>
  <si>
    <t>Kanaria</t>
    <phoneticPr fontId="1" type="noConversion"/>
  </si>
  <si>
    <t>KATOMORI</t>
    <phoneticPr fontId="1" type="noConversion"/>
  </si>
  <si>
    <t>XeoN</t>
    <phoneticPr fontId="1" type="noConversion"/>
  </si>
  <si>
    <t>CGA vs Gentle Stick</t>
    <phoneticPr fontId="1" type="noConversion"/>
  </si>
  <si>
    <t>102.Koko197 (V2.06.0)</t>
    <phoneticPr fontId="1" type="noConversion"/>
  </si>
  <si>
    <t>902-1.KoKo197 Remaster (1.02.0)</t>
    <phoneticPr fontId="1" type="noConversion"/>
  </si>
  <si>
    <t>Ahoy!! Warera Houshou Kaizokudan - FULL SONG -</t>
  </si>
  <si>
    <t>Idol - FULL SONG -</t>
  </si>
  <si>
    <t>ETA</t>
  </si>
  <si>
    <t>Seven</t>
  </si>
  <si>
    <t>Calamity Fortune</t>
  </si>
  <si>
    <t>MARENOL</t>
  </si>
  <si>
    <t>DIE IN</t>
  </si>
  <si>
    <t>Hell'o</t>
  </si>
  <si>
    <t>Hypernaid</t>
  </si>
  <si>
    <t>KICK IT</t>
  </si>
  <si>
    <t>Smite Him!! Loli God Requiem - FULL SONG -</t>
  </si>
  <si>
    <t>Pure Blood</t>
  </si>
  <si>
    <t>Aleph-0</t>
  </si>
  <si>
    <t>POPSTARS</t>
  </si>
  <si>
    <t>Random</t>
  </si>
  <si>
    <t>Accelerate</t>
  </si>
  <si>
    <t>Carrot Carrot</t>
  </si>
  <si>
    <t>glory MAX -to the MAXimum-</t>
  </si>
  <si>
    <t>JUSTITIA</t>
  </si>
  <si>
    <t>Please, Give Me A Lover</t>
  </si>
  <si>
    <t>Zero-Break</t>
  </si>
  <si>
    <t>Miku</t>
    <phoneticPr fontId="1" type="noConversion"/>
  </si>
  <si>
    <t>Miku</t>
    <phoneticPr fontId="11" type="noConversion"/>
  </si>
  <si>
    <t>Sakuzyo</t>
    <phoneticPr fontId="1" type="noConversion"/>
  </si>
  <si>
    <t>ユメミド x LeaF</t>
    <phoneticPr fontId="1" type="noConversion"/>
  </si>
  <si>
    <t>LOL</t>
    <phoneticPr fontId="1" type="noConversion"/>
  </si>
  <si>
    <t>Imagine Dragons</t>
    <phoneticPr fontId="1" type="noConversion"/>
  </si>
  <si>
    <t>TAK x Corbin</t>
    <phoneticPr fontId="1" type="noConversion"/>
  </si>
  <si>
    <t>SEVEN's CODE</t>
    <phoneticPr fontId="1" type="noConversion"/>
  </si>
  <si>
    <t>SEVEN's CODE</t>
    <phoneticPr fontId="11" type="noConversion"/>
  </si>
  <si>
    <t>GAME</t>
    <phoneticPr fontId="11" type="noConversion"/>
  </si>
  <si>
    <t>HyuN</t>
    <phoneticPr fontId="1" type="noConversion"/>
  </si>
  <si>
    <t>SANY-ON</t>
    <phoneticPr fontId="1" type="noConversion"/>
  </si>
  <si>
    <t>EZ2</t>
    <phoneticPr fontId="11" type="noConversion"/>
  </si>
  <si>
    <t>SHK</t>
    <phoneticPr fontId="1" type="noConversion"/>
  </si>
  <si>
    <t>かねこちはる</t>
    <phoneticPr fontId="1" type="noConversion"/>
  </si>
  <si>
    <t>ND Lee</t>
    <phoneticPr fontId="1" type="noConversion"/>
  </si>
  <si>
    <t>M2U</t>
    <phoneticPr fontId="1" type="noConversion"/>
  </si>
  <si>
    <t>SSOMbo</t>
    <phoneticPr fontId="1" type="noConversion"/>
  </si>
  <si>
    <t>jam-jam</t>
    <phoneticPr fontId="1" type="noConversion"/>
  </si>
  <si>
    <t>MEME</t>
    <phoneticPr fontId="11" type="noConversion"/>
  </si>
  <si>
    <t>NONE</t>
    <phoneticPr fontId="11" type="noConversion"/>
  </si>
  <si>
    <t>Counts</t>
    <phoneticPr fontId="11" type="noConversion"/>
  </si>
  <si>
    <t>K-pop</t>
    <phoneticPr fontId="11" type="noConversion"/>
  </si>
  <si>
    <t>CHUCK</t>
    <phoneticPr fontId="1" type="noConversion"/>
  </si>
  <si>
    <t>Talesweaver</t>
    <phoneticPr fontId="1" type="noConversion"/>
  </si>
  <si>
    <t>Talesweaver</t>
    <phoneticPr fontId="11" type="noConversion"/>
  </si>
  <si>
    <t>esti</t>
    <phoneticPr fontId="1" type="noConversion"/>
  </si>
  <si>
    <t>NewJeans</t>
    <phoneticPr fontId="1" type="noConversion"/>
  </si>
  <si>
    <t>NewJeans</t>
    <phoneticPr fontId="11" type="noConversion"/>
  </si>
  <si>
    <t>정국</t>
    <phoneticPr fontId="1" type="noConversion"/>
  </si>
  <si>
    <t>정국</t>
    <phoneticPr fontId="11" type="noConversion"/>
  </si>
  <si>
    <t>TAK x SOBRem</t>
    <phoneticPr fontId="1" type="noConversion"/>
  </si>
  <si>
    <t>PAN</t>
    <phoneticPr fontId="1" type="noConversion"/>
  </si>
  <si>
    <t>HAYAKO</t>
    <phoneticPr fontId="1" type="noConversion"/>
  </si>
  <si>
    <t>Shigure Ui</t>
    <phoneticPr fontId="1" type="noConversion"/>
  </si>
  <si>
    <t>Shigure Ui</t>
    <phoneticPr fontId="11" type="noConversion"/>
  </si>
  <si>
    <t>K/DA</t>
    <phoneticPr fontId="1" type="noConversion"/>
  </si>
  <si>
    <t>Sobrem&amp;Silentroom</t>
    <phoneticPr fontId="1" type="noConversion"/>
  </si>
  <si>
    <t>Teminite &amp; Skybreak</t>
    <phoneticPr fontId="1" type="noConversion"/>
  </si>
  <si>
    <t>Sobrem</t>
    <phoneticPr fontId="1" type="noConversion"/>
  </si>
  <si>
    <t>Kensei</t>
    <phoneticPr fontId="1" type="noConversion"/>
  </si>
  <si>
    <t>Cosmograph vs. Lunatic Sounds</t>
    <phoneticPr fontId="1" type="noConversion"/>
  </si>
  <si>
    <t>MacP &amp; Cosmograph &amp; HyuN</t>
    <phoneticPr fontId="1" type="noConversion"/>
  </si>
  <si>
    <t>RoughSketch × CANVAS</t>
    <phoneticPr fontId="1" type="noConversion"/>
  </si>
  <si>
    <t>Pure 100%</t>
    <phoneticPr fontId="1" type="noConversion"/>
  </si>
  <si>
    <t>O2JAM</t>
    <phoneticPr fontId="1" type="noConversion"/>
  </si>
  <si>
    <t>O2JAM</t>
    <phoneticPr fontId="11" type="noConversion"/>
  </si>
  <si>
    <t>Warak</t>
    <phoneticPr fontId="1" type="noConversion"/>
  </si>
  <si>
    <t>Cosmograph</t>
    <phoneticPr fontId="1" type="noConversion"/>
  </si>
  <si>
    <t>중복 횟수</t>
  </si>
  <si>
    <t>비고</t>
  </si>
  <si>
    <t>2회</t>
  </si>
  <si>
    <t>완벽 일치 중복</t>
  </si>
  <si>
    <t>Rish feat. Choco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</si>
</sst>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scheme val="minor"/>
    </font>
    <font>
      <sz val="8"/>
      <color rgb="FF000000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u/>
      <sz val="11"/>
      <color theme="11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Yu Gothic"/>
      <family val="3"/>
      <charset val="128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D3436"/>
        <bgColor rgb="FF000000"/>
      </patternFill>
    </fill>
    <fill>
      <patternFill patternType="solid">
        <fgColor rgb="FFFFF915"/>
        <bgColor indexed="64"/>
      </patternFill>
    </fill>
  </fills>
  <borders count="7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/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/>
      <top style="medium">
        <color rgb="FFDDDDDD"/>
      </top>
      <bottom/>
      <diagonal/>
    </border>
  </borders>
  <cellStyleXfs count="3">
    <xf numFmtId="0" fontId="0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9" fillId="3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0" borderId="0" xfId="0" applyAlignment="1"/>
    <xf numFmtId="0" fontId="8" fillId="0" borderId="5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9" fillId="3" borderId="6" xfId="0" applyFont="1" applyFill="1" applyBorder="1" applyAlignment="1">
      <alignment vertical="center" wrapText="1"/>
    </xf>
    <xf numFmtId="0" fontId="3" fillId="0" borderId="0" xfId="0" applyFont="1" applyAlignment="1"/>
    <xf numFmtId="0" fontId="3" fillId="0" borderId="0" xfId="0" applyFont="1">
      <alignment vertical="center"/>
    </xf>
    <xf numFmtId="0" fontId="10" fillId="0" borderId="0" xfId="0" applyFont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/>
    <xf numFmtId="0" fontId="3" fillId="0" borderId="0" xfId="0" applyFont="1" applyBorder="1">
      <alignment vertical="center"/>
    </xf>
    <xf numFmtId="0" fontId="3" fillId="0" borderId="0" xfId="0" applyFont="1" applyBorder="1" applyAlignment="1"/>
    <xf numFmtId="0" fontId="0" fillId="0" borderId="0" xfId="0" applyFill="1">
      <alignment vertical="center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3" fillId="0" borderId="0" xfId="0" applyFont="1" applyBorder="1" applyAlignment="1">
      <alignment vertical="center" wrapText="1"/>
    </xf>
  </cellXfs>
  <cellStyles count="3">
    <cellStyle name="열어 본 하이퍼링크" xfId="2" builtinId="9" hidden="1"/>
    <cellStyle name="표준" xfId="0" builtinId="0"/>
    <cellStyle name="하이퍼링크" xfId="1" builtinId="8" hidden="1"/>
  </cellStyles>
  <dxfs count="21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맑은 고딕"/>
        <family val="3"/>
        <charset val="129"/>
        <scheme val="minor"/>
      </font>
      <fill>
        <patternFill patternType="solid">
          <fgColor indexed="64"/>
          <bgColor rgb="FFFFF915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/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70C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DDDDDD"/>
        </left>
        <right style="medium">
          <color rgb="FFDDDDDD"/>
        </right>
        <top style="medium">
          <color rgb="FFDDDDDD"/>
        </top>
        <bottom style="medium">
          <color rgb="FFDDDDDD"/>
        </bottom>
        <vertical/>
        <horizontal/>
      </border>
    </dxf>
    <dxf>
      <border outline="0">
        <right style="medium">
          <color rgb="FFDDDDDD"/>
        </right>
        <top style="medium">
          <color rgb="FFDDDDDD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border outline="0">
        <bottom style="medium">
          <color rgb="FFDDDDD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inor"/>
      </font>
      <fill>
        <patternFill patternType="solid">
          <fgColor rgb="FF000000"/>
          <bgColor rgb="FF2D3436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DDDD"/>
        </left>
        <right style="medium">
          <color rgb="FFDDDDDD"/>
        </right>
        <top/>
        <bottom/>
      </border>
    </dxf>
  </dxfs>
  <tableStyles count="0" defaultTableStyle="TableStyleMedium2" defaultPivotStyle="PivotStyleLight16"/>
  <colors>
    <mruColors>
      <color rgb="FFFFF915"/>
      <color rgb="FF969200"/>
      <color rgb="FF5654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F26A8-C341-4628-AC5D-D9E7DC5D4228}" name="표1" displayName="표1" ref="A1:U172" totalsRowShown="0" headerRowDxfId="20" dataDxfId="18" headerRowBorderDxfId="19" tableBorderDxfId="17">
  <tableColumns count="21">
    <tableColumn id="1" xr3:uid="{EEFD404E-0458-4B32-886D-BCB38F389457}" name="Package"/>
    <tableColumn id="2" xr3:uid="{CD063C1F-CA69-4F7E-B38B-CD108124699A}" name="Category" dataDxfId="0">
      <calculatedColumnFormula>IF(C2="", "", _xlfn.XLOOKUP(C2, 카테고리!A:A, 카테고리!B:B))</calculatedColumnFormula>
    </tableColumn>
    <tableColumn id="3" xr3:uid="{1D2EBAE3-EF0C-4C61-852A-95033839E97D}" name="Addition"/>
    <tableColumn id="4" xr3:uid="{75732419-F58A-461B-942E-2538B2676331}" name="Song Title"/>
    <tableColumn id="5" xr3:uid="{63B05858-956C-4EE3-8FEB-D77DB0EE195F}" name="Artist"/>
    <tableColumn id="6" xr3:uid="{4147D103-E499-4FDE-832A-2F1810AF46E5}" name="S_1" dataDxfId="16"/>
    <tableColumn id="7" xr3:uid="{5D895C21-5BCB-4D06-8551-B36A0E7B1710}" name="S_2" dataDxfId="15"/>
    <tableColumn id="8" xr3:uid="{B3AC5E11-A043-485C-BBA7-DA8F024DCC31}" name="S_3" dataDxfId="14"/>
    <tableColumn id="9" xr3:uid="{7E587425-8C62-437E-9E0C-A39AA1EB5848}" name="S_4" dataDxfId="13"/>
    <tableColumn id="10" xr3:uid="{38D80304-F512-45AC-A463-A9D91364FD39}" name="S_5" dataDxfId="12"/>
    <tableColumn id="11" xr3:uid="{9646DDE8-30CF-476C-B01F-8DFCD869612D}" name="S_6" dataDxfId="11"/>
    <tableColumn id="12" xr3:uid="{39FB002E-FC24-4C50-847C-B926348BF670}" name="S_7" dataDxfId="10"/>
    <tableColumn id="13" xr3:uid="{902ED6AC-A0CF-4713-A285-A40EBF31D33C}" name="D_1" dataDxfId="9"/>
    <tableColumn id="14" xr3:uid="{D18268FC-DD09-43E1-8EBE-E6ABA4E1FF6A}" name="D_2" dataDxfId="8"/>
    <tableColumn id="15" xr3:uid="{E4820884-B6A5-4038-B557-27585C1550AC}" name="D_3" dataDxfId="7"/>
    <tableColumn id="16" xr3:uid="{B3E8E439-EDD0-445E-8313-85F59508F674}" name="D_4" dataDxfId="6"/>
    <tableColumn id="17" xr3:uid="{66384851-2777-4BC7-B5E7-7A474474337D}" name="D_5" dataDxfId="5"/>
    <tableColumn id="18" xr3:uid="{4647066E-E232-4E50-B1A9-B37499FA2AFD}" name="D_6" dataDxfId="4"/>
    <tableColumn id="19" xr3:uid="{21539DE8-D0C1-474B-95C3-517FDEB0DD9F}" name="D_7" dataDxfId="3"/>
    <tableColumn id="20" xr3:uid="{A15477AF-18B8-4C33-B03D-3167AD266817}" name="DP_1" dataDxfId="2"/>
    <tableColumn id="21" xr3:uid="{3ABB94CE-8A63-4F00-92ED-5ED78077FE02}" name="CO_1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72"/>
  <sheetViews>
    <sheetView zoomScale="85" zoomScaleNormal="85" workbookViewId="0">
      <pane ySplit="1" topLeftCell="A2" activePane="bottomLeft" state="frozen"/>
      <selection pane="bottomLeft" activeCell="B15" sqref="B15"/>
    </sheetView>
  </sheetViews>
  <sheetFormatPr defaultColWidth="58" defaultRowHeight="16.5" x14ac:dyDescent="0.3"/>
  <cols>
    <col min="1" max="1" width="30.375" customWidth="1"/>
    <col min="2" max="2" width="11.125" bestFit="1" customWidth="1"/>
    <col min="3" max="3" width="16.125" bestFit="1" customWidth="1"/>
    <col min="4" max="4" width="38.5" bestFit="1" customWidth="1"/>
    <col min="5" max="5" width="36.75" bestFit="1" customWidth="1"/>
    <col min="6" max="12" width="4.625" bestFit="1" customWidth="1"/>
    <col min="13" max="19" width="5" bestFit="1" customWidth="1"/>
    <col min="20" max="20" width="6.125" bestFit="1" customWidth="1"/>
    <col min="21" max="21" width="6.375" bestFit="1" customWidth="1"/>
  </cols>
  <sheetData>
    <row r="1" spans="1:21" ht="17.25" thickBot="1" x14ac:dyDescent="0.35">
      <c r="A1" s="5" t="s">
        <v>3</v>
      </c>
      <c r="B1" s="5" t="s">
        <v>2</v>
      </c>
      <c r="C1" s="5" t="s">
        <v>4</v>
      </c>
      <c r="D1" s="5" t="s">
        <v>0</v>
      </c>
      <c r="E1" s="5" t="s">
        <v>1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5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75</v>
      </c>
      <c r="U1" s="6" t="s">
        <v>76</v>
      </c>
    </row>
    <row r="2" spans="1:21" ht="17.25" thickBot="1" x14ac:dyDescent="0.35">
      <c r="A2" s="15" t="s">
        <v>319</v>
      </c>
      <c r="B2" t="str">
        <f>IF(C2="", "", _xlfn.XLOOKUP(C2, 카테고리!A:A, 카테고리!B:B))</f>
        <v>GAME</v>
      </c>
      <c r="C2" t="s">
        <v>21</v>
      </c>
      <c r="D2" t="s">
        <v>22</v>
      </c>
      <c r="E2" t="s">
        <v>23</v>
      </c>
      <c r="F2" s="3">
        <v>2</v>
      </c>
      <c r="G2" s="3">
        <v>4</v>
      </c>
      <c r="H2" s="3">
        <v>6</v>
      </c>
      <c r="I2" s="3">
        <v>9</v>
      </c>
      <c r="J2" s="3">
        <v>15</v>
      </c>
      <c r="K2" s="3">
        <v>18</v>
      </c>
      <c r="L2" s="3">
        <v>21</v>
      </c>
      <c r="M2" s="2">
        <v>15</v>
      </c>
      <c r="N2" s="2">
        <v>18</v>
      </c>
      <c r="O2" s="2">
        <v>21</v>
      </c>
      <c r="P2" s="2">
        <v>23</v>
      </c>
      <c r="Q2" s="2"/>
      <c r="R2" s="2"/>
      <c r="S2" s="2"/>
      <c r="T2" s="1">
        <v>3</v>
      </c>
      <c r="U2" s="4">
        <v>2</v>
      </c>
    </row>
    <row r="3" spans="1:21" ht="17.25" thickBot="1" x14ac:dyDescent="0.35">
      <c r="A3" s="15" t="s">
        <v>319</v>
      </c>
      <c r="B3" t="str">
        <f>IF(C3="", "", _xlfn.XLOOKUP(C3, 카테고리!A:A, 카테고리!B:B))</f>
        <v>GAME</v>
      </c>
      <c r="C3" t="s">
        <v>21</v>
      </c>
      <c r="D3" t="s">
        <v>24</v>
      </c>
      <c r="E3" t="s">
        <v>25</v>
      </c>
      <c r="F3" s="3">
        <v>1</v>
      </c>
      <c r="G3" s="3">
        <v>3</v>
      </c>
      <c r="H3" s="3">
        <v>6</v>
      </c>
      <c r="I3" s="3">
        <v>9</v>
      </c>
      <c r="J3" s="3">
        <v>15</v>
      </c>
      <c r="K3" s="3">
        <v>19</v>
      </c>
      <c r="L3" s="3"/>
      <c r="M3" s="2">
        <v>13</v>
      </c>
      <c r="N3" s="2">
        <v>17</v>
      </c>
      <c r="O3" s="2">
        <v>21</v>
      </c>
      <c r="P3" s="2"/>
      <c r="Q3" s="2"/>
      <c r="R3" s="2"/>
      <c r="S3" s="2"/>
      <c r="T3" s="1"/>
      <c r="U3" s="4"/>
    </row>
    <row r="4" spans="1:21" ht="17.25" thickBot="1" x14ac:dyDescent="0.35">
      <c r="A4" s="15" t="s">
        <v>319</v>
      </c>
      <c r="B4" t="str">
        <f>IF(C4="", "", _xlfn.XLOOKUP(C4, 카테고리!A:A, 카테고리!B:B))</f>
        <v>K-pop</v>
      </c>
      <c r="C4" t="s">
        <v>26</v>
      </c>
      <c r="D4" t="s">
        <v>27</v>
      </c>
      <c r="E4" t="s">
        <v>26</v>
      </c>
      <c r="F4" s="3">
        <v>1</v>
      </c>
      <c r="G4" s="3">
        <v>3</v>
      </c>
      <c r="H4" s="3">
        <v>6</v>
      </c>
      <c r="I4" s="3">
        <v>9</v>
      </c>
      <c r="J4" s="3">
        <v>15</v>
      </c>
      <c r="K4" s="3">
        <v>17</v>
      </c>
      <c r="L4" s="3"/>
      <c r="M4" s="2">
        <v>15</v>
      </c>
      <c r="N4" s="2">
        <v>19</v>
      </c>
      <c r="O4" s="2">
        <v>21</v>
      </c>
      <c r="P4" s="2"/>
      <c r="Q4" s="2"/>
      <c r="R4" s="2"/>
      <c r="S4" s="2"/>
      <c r="T4" s="1"/>
      <c r="U4" s="4"/>
    </row>
    <row r="5" spans="1:21" ht="17.25" thickBot="1" x14ac:dyDescent="0.35">
      <c r="A5" s="15" t="s">
        <v>319</v>
      </c>
      <c r="B5" t="str">
        <f>IF(C5="", "", _xlfn.XLOOKUP(C5, 카테고리!A:A, 카테고리!B:B))</f>
        <v>GAME</v>
      </c>
      <c r="C5" t="s">
        <v>21</v>
      </c>
      <c r="D5" t="s">
        <v>28</v>
      </c>
      <c r="E5" t="s">
        <v>29</v>
      </c>
      <c r="F5" s="3">
        <v>22</v>
      </c>
      <c r="G5" s="3"/>
      <c r="H5" s="3"/>
      <c r="I5" s="3"/>
      <c r="J5" s="3"/>
      <c r="K5" s="3"/>
      <c r="L5" s="3"/>
      <c r="M5" s="2">
        <v>26</v>
      </c>
      <c r="N5" s="2"/>
      <c r="O5" s="2"/>
      <c r="P5" s="2"/>
      <c r="Q5" s="2"/>
      <c r="R5" s="2"/>
      <c r="S5" s="2"/>
      <c r="T5" s="1"/>
      <c r="U5" s="4"/>
    </row>
    <row r="6" spans="1:21" ht="17.25" thickBot="1" x14ac:dyDescent="0.35">
      <c r="A6" s="15" t="s">
        <v>319</v>
      </c>
      <c r="B6" t="str">
        <f>IF(C6="", "", _xlfn.XLOOKUP(C6, 카테고리!A:A, 카테고리!B:B))</f>
        <v>K-pop</v>
      </c>
      <c r="C6" t="s">
        <v>26</v>
      </c>
      <c r="D6" t="s">
        <v>30</v>
      </c>
      <c r="E6" t="s">
        <v>26</v>
      </c>
      <c r="F6" s="3"/>
      <c r="G6" s="3"/>
      <c r="H6" s="3"/>
      <c r="I6" s="3"/>
      <c r="J6" s="3"/>
      <c r="K6" s="3"/>
      <c r="L6" s="3"/>
      <c r="M6" s="2">
        <v>23</v>
      </c>
      <c r="N6" s="2"/>
      <c r="O6" s="2"/>
      <c r="P6" s="2"/>
      <c r="Q6" s="2"/>
      <c r="R6" s="2"/>
      <c r="S6" s="2"/>
      <c r="T6" s="1"/>
      <c r="U6" s="4"/>
    </row>
    <row r="7" spans="1:21" ht="17.25" thickBot="1" x14ac:dyDescent="0.35">
      <c r="A7" s="15" t="s">
        <v>319</v>
      </c>
      <c r="B7" t="str">
        <f>IF(C7="", "", _xlfn.XLOOKUP(C7, 카테고리!A:A, 카테고리!B:B))</f>
        <v>GAME</v>
      </c>
      <c r="C7" t="s">
        <v>31</v>
      </c>
      <c r="D7" t="s">
        <v>32</v>
      </c>
      <c r="E7" t="s">
        <v>33</v>
      </c>
      <c r="F7" s="3"/>
      <c r="G7" s="3"/>
      <c r="H7" s="3"/>
      <c r="I7" s="3"/>
      <c r="J7" s="3"/>
      <c r="K7" s="3"/>
      <c r="L7" s="3"/>
      <c r="M7" s="2">
        <v>20</v>
      </c>
      <c r="N7" s="2"/>
      <c r="O7" s="2"/>
      <c r="P7" s="2"/>
      <c r="Q7" s="2"/>
      <c r="R7" s="2"/>
      <c r="S7" s="2"/>
      <c r="T7" s="1"/>
      <c r="U7" s="4"/>
    </row>
    <row r="8" spans="1:21" ht="17.25" thickBot="1" x14ac:dyDescent="0.35">
      <c r="A8" s="15" t="s">
        <v>319</v>
      </c>
      <c r="B8" t="str">
        <f>IF(C8="", "", _xlfn.XLOOKUP(C8, 카테고리!A:A, 카테고리!B:B))</f>
        <v>K-pop</v>
      </c>
      <c r="C8" t="s">
        <v>35</v>
      </c>
      <c r="D8" t="s">
        <v>34</v>
      </c>
      <c r="E8" t="s">
        <v>35</v>
      </c>
      <c r="F8" s="3">
        <v>21</v>
      </c>
      <c r="G8" s="3"/>
      <c r="H8" s="3"/>
      <c r="I8" s="3"/>
      <c r="J8" s="3"/>
      <c r="K8" s="3"/>
      <c r="L8" s="3"/>
      <c r="M8" s="2">
        <v>26</v>
      </c>
      <c r="N8" s="2"/>
      <c r="O8" s="2"/>
      <c r="P8" s="2"/>
      <c r="Q8" s="2"/>
      <c r="R8" s="2"/>
      <c r="S8" s="2"/>
      <c r="T8" s="1"/>
      <c r="U8" s="4"/>
    </row>
    <row r="9" spans="1:21" ht="17.25" thickBot="1" x14ac:dyDescent="0.35">
      <c r="A9" s="15" t="s">
        <v>319</v>
      </c>
      <c r="B9" t="str">
        <f>IF(C9="", "", _xlfn.XLOOKUP(C9, 카테고리!A:A, 카테고리!B:B))</f>
        <v>MEME</v>
      </c>
      <c r="C9" s="13" t="s">
        <v>307</v>
      </c>
      <c r="D9" t="s">
        <v>36</v>
      </c>
      <c r="E9" t="s">
        <v>37</v>
      </c>
      <c r="F9" s="3"/>
      <c r="G9" s="3"/>
      <c r="H9" s="3"/>
      <c r="I9" s="3"/>
      <c r="J9" s="3"/>
      <c r="K9" s="3"/>
      <c r="L9" s="3"/>
      <c r="M9" s="2">
        <v>23</v>
      </c>
      <c r="N9" s="2"/>
      <c r="O9" s="2"/>
      <c r="P9" s="2"/>
      <c r="Q9" s="2"/>
      <c r="R9" s="2"/>
      <c r="S9" s="2"/>
      <c r="T9" s="1"/>
      <c r="U9" s="4"/>
    </row>
    <row r="10" spans="1:21" ht="17.25" thickBot="1" x14ac:dyDescent="0.35">
      <c r="A10" s="15" t="s">
        <v>319</v>
      </c>
      <c r="B10" t="str">
        <f>IF(C10="", "", _xlfn.XLOOKUP(C10, 카테고리!A:A, 카테고리!B:B))</f>
        <v>GAME</v>
      </c>
      <c r="C10" t="s">
        <v>38</v>
      </c>
      <c r="D10" t="s">
        <v>39</v>
      </c>
      <c r="E10" t="s">
        <v>40</v>
      </c>
      <c r="F10" s="3"/>
      <c r="G10" s="3"/>
      <c r="H10" s="3"/>
      <c r="I10" s="3"/>
      <c r="J10" s="3"/>
      <c r="K10" s="3"/>
      <c r="L10" s="3"/>
      <c r="M10" s="2">
        <v>29</v>
      </c>
      <c r="N10" s="2">
        <v>31</v>
      </c>
      <c r="O10" s="2"/>
      <c r="P10" s="2"/>
      <c r="Q10" s="2"/>
      <c r="R10" s="2"/>
      <c r="S10" s="2"/>
      <c r="T10" s="1"/>
      <c r="U10" s="4"/>
    </row>
    <row r="11" spans="1:21" ht="17.25" thickBot="1" x14ac:dyDescent="0.35">
      <c r="A11" s="15" t="s">
        <v>319</v>
      </c>
      <c r="B11" t="str">
        <f>IF(C11="", "", _xlfn.XLOOKUP(C11, 카테고리!A:A, 카테고리!B:B))</f>
        <v>GAME</v>
      </c>
      <c r="C11" t="s">
        <v>21</v>
      </c>
      <c r="D11" t="s">
        <v>41</v>
      </c>
      <c r="E11" t="s">
        <v>42</v>
      </c>
      <c r="F11" s="3">
        <v>14</v>
      </c>
      <c r="G11" s="3">
        <v>17</v>
      </c>
      <c r="H11" s="3">
        <v>19</v>
      </c>
      <c r="I11" s="3">
        <v>22</v>
      </c>
      <c r="J11" s="3"/>
      <c r="K11" s="3"/>
      <c r="L11" s="3"/>
      <c r="M11" s="2">
        <v>19</v>
      </c>
      <c r="N11" s="2">
        <v>23</v>
      </c>
      <c r="O11" s="2"/>
      <c r="P11" s="2"/>
      <c r="Q11" s="2"/>
      <c r="R11" s="2"/>
      <c r="S11" s="2"/>
      <c r="T11" s="1"/>
      <c r="U11" s="4"/>
    </row>
    <row r="12" spans="1:21" ht="17.25" thickBot="1" x14ac:dyDescent="0.35">
      <c r="A12" s="15" t="s">
        <v>319</v>
      </c>
      <c r="B12" t="str">
        <f>IF(C12="", "", _xlfn.XLOOKUP(C12, 카테고리!A:A, 카테고리!B:B))</f>
        <v>K-pop</v>
      </c>
      <c r="C12" t="s">
        <v>26</v>
      </c>
      <c r="D12" t="s">
        <v>44</v>
      </c>
      <c r="E12" t="s">
        <v>26</v>
      </c>
      <c r="F12" s="3"/>
      <c r="G12" s="3"/>
      <c r="H12" s="3"/>
      <c r="I12" s="3"/>
      <c r="J12" s="3"/>
      <c r="K12" s="3"/>
      <c r="L12" s="3"/>
      <c r="M12" s="2">
        <v>22</v>
      </c>
      <c r="N12" s="2"/>
      <c r="O12" s="2"/>
      <c r="P12" s="2"/>
      <c r="Q12" s="2"/>
      <c r="R12" s="2"/>
      <c r="S12" s="2"/>
      <c r="T12" s="1"/>
      <c r="U12" s="4"/>
    </row>
    <row r="13" spans="1:21" ht="17.25" thickBot="1" x14ac:dyDescent="0.35">
      <c r="A13" s="15" t="s">
        <v>319</v>
      </c>
      <c r="B13" t="str">
        <f>IF(C13="", "", _xlfn.XLOOKUP(C13, 카테고리!A:A, 카테고리!B:B))</f>
        <v>GAME</v>
      </c>
      <c r="C13" t="s">
        <v>21</v>
      </c>
      <c r="D13" t="s">
        <v>45</v>
      </c>
      <c r="E13" t="s">
        <v>46</v>
      </c>
      <c r="F13" s="3"/>
      <c r="G13" s="3"/>
      <c r="H13" s="3"/>
      <c r="I13" s="3"/>
      <c r="J13" s="3"/>
      <c r="K13" s="3"/>
      <c r="L13" s="3"/>
      <c r="M13" s="2">
        <v>21</v>
      </c>
      <c r="N13" s="2"/>
      <c r="O13" s="2"/>
      <c r="P13" s="2"/>
      <c r="Q13" s="2"/>
      <c r="R13" s="2"/>
      <c r="S13" s="2"/>
      <c r="T13" s="1"/>
      <c r="U13" s="4"/>
    </row>
    <row r="14" spans="1:21" ht="17.25" thickBot="1" x14ac:dyDescent="0.35">
      <c r="A14" s="15" t="s">
        <v>319</v>
      </c>
      <c r="B14" t="str">
        <f>IF(C14="", "", _xlfn.XLOOKUP(C14, 카테고리!A:A, 카테고리!B:B))</f>
        <v>GAME</v>
      </c>
      <c r="C14" t="s">
        <v>21</v>
      </c>
      <c r="D14" t="s">
        <v>47</v>
      </c>
      <c r="E14" t="s">
        <v>48</v>
      </c>
      <c r="F14" s="3"/>
      <c r="G14" s="3"/>
      <c r="H14" s="3"/>
      <c r="I14" s="3"/>
      <c r="J14" s="3"/>
      <c r="K14" s="3"/>
      <c r="L14" s="3"/>
      <c r="M14" s="2">
        <v>25</v>
      </c>
      <c r="N14" s="2"/>
      <c r="O14" s="2"/>
      <c r="P14" s="2"/>
      <c r="Q14" s="2"/>
      <c r="R14" s="2"/>
      <c r="S14" s="2"/>
      <c r="T14" s="1"/>
      <c r="U14" s="4"/>
    </row>
    <row r="15" spans="1:21" ht="17.25" thickBot="1" x14ac:dyDescent="0.35">
      <c r="A15" s="15" t="s">
        <v>319</v>
      </c>
      <c r="B15" t="str">
        <f>IF(C15="", "", _xlfn.XLOOKUP(C15, 카테고리!A:A, 카테고리!B:B))</f>
        <v>GAME</v>
      </c>
      <c r="C15" t="s">
        <v>21</v>
      </c>
      <c r="D15" t="s">
        <v>49</v>
      </c>
      <c r="E15" t="s">
        <v>50</v>
      </c>
      <c r="F15" s="3"/>
      <c r="G15" s="3"/>
      <c r="H15" s="3"/>
      <c r="I15" s="3"/>
      <c r="J15" s="3"/>
      <c r="K15" s="3"/>
      <c r="L15" s="3"/>
      <c r="M15" s="2">
        <v>22</v>
      </c>
      <c r="N15" s="2"/>
      <c r="O15" s="2"/>
      <c r="P15" s="2"/>
      <c r="Q15" s="2"/>
      <c r="R15" s="2"/>
      <c r="S15" s="2"/>
      <c r="T15" s="1"/>
      <c r="U15" s="4"/>
    </row>
    <row r="16" spans="1:21" ht="17.25" thickBot="1" x14ac:dyDescent="0.35">
      <c r="A16" s="15" t="s">
        <v>319</v>
      </c>
      <c r="B16" t="str">
        <f>IF(C16="", "", _xlfn.XLOOKUP(C16, 카테고리!A:A, 카테고리!B:B))</f>
        <v>GAME</v>
      </c>
      <c r="C16" t="s">
        <v>21</v>
      </c>
      <c r="D16" t="s">
        <v>51</v>
      </c>
      <c r="E16" t="s">
        <v>52</v>
      </c>
      <c r="F16" s="3">
        <v>7</v>
      </c>
      <c r="G16" s="3"/>
      <c r="H16" s="3"/>
      <c r="I16" s="3"/>
      <c r="J16" s="3"/>
      <c r="K16" s="3"/>
      <c r="L16" s="3"/>
      <c r="M16" s="2">
        <v>17</v>
      </c>
      <c r="N16" s="2"/>
      <c r="O16" s="2"/>
      <c r="P16" s="2"/>
      <c r="Q16" s="2"/>
      <c r="R16" s="2"/>
      <c r="S16" s="2"/>
      <c r="T16" s="1"/>
      <c r="U16" s="4"/>
    </row>
    <row r="17" spans="1:21" ht="17.25" thickBot="1" x14ac:dyDescent="0.35">
      <c r="A17" s="15" t="s">
        <v>319</v>
      </c>
      <c r="B17" t="str">
        <f>IF(C17="", "", _xlfn.XLOOKUP(C17, 카테고리!A:A, 카테고리!B:B))</f>
        <v>GAME</v>
      </c>
      <c r="C17" t="s">
        <v>21</v>
      </c>
      <c r="D17" t="s">
        <v>53</v>
      </c>
      <c r="E17" t="s">
        <v>54</v>
      </c>
      <c r="F17" s="3"/>
      <c r="G17" s="3"/>
      <c r="H17" s="3"/>
      <c r="I17" s="3"/>
      <c r="J17" s="3"/>
      <c r="K17" s="3"/>
      <c r="L17" s="3"/>
      <c r="M17" s="2">
        <v>25</v>
      </c>
      <c r="N17" s="2"/>
      <c r="O17" s="2"/>
      <c r="P17" s="2"/>
      <c r="Q17" s="2"/>
      <c r="R17" s="2"/>
      <c r="S17" s="2"/>
      <c r="T17" s="1"/>
      <c r="U17" s="4"/>
    </row>
    <row r="18" spans="1:21" ht="17.25" thickBot="1" x14ac:dyDescent="0.35">
      <c r="A18" s="15" t="s">
        <v>319</v>
      </c>
      <c r="B18" t="str">
        <f>IF(C18="", "", _xlfn.XLOOKUP(C18, 카테고리!A:A, 카테고리!B:B))</f>
        <v>GAME</v>
      </c>
      <c r="C18" t="s">
        <v>21</v>
      </c>
      <c r="D18" t="s">
        <v>55</v>
      </c>
      <c r="E18" t="s">
        <v>56</v>
      </c>
      <c r="F18" s="3"/>
      <c r="G18" s="3"/>
      <c r="H18" s="3"/>
      <c r="I18" s="3"/>
      <c r="J18" s="3"/>
      <c r="K18" s="3"/>
      <c r="L18" s="3"/>
      <c r="M18" s="2">
        <v>21</v>
      </c>
      <c r="N18" s="2"/>
      <c r="O18" s="2"/>
      <c r="P18" s="2"/>
      <c r="Q18" s="2"/>
      <c r="R18" s="2"/>
      <c r="S18" s="2"/>
      <c r="T18" s="1"/>
      <c r="U18" s="4"/>
    </row>
    <row r="19" spans="1:21" ht="17.25" thickBot="1" x14ac:dyDescent="0.35">
      <c r="A19" s="15" t="s">
        <v>319</v>
      </c>
      <c r="B19" t="str">
        <f>IF(C19="", "", _xlfn.XLOOKUP(C19, 카테고리!A:A, 카테고리!B:B))</f>
        <v>GAME</v>
      </c>
      <c r="C19" t="s">
        <v>21</v>
      </c>
      <c r="D19" t="s">
        <v>57</v>
      </c>
      <c r="E19" t="s">
        <v>58</v>
      </c>
      <c r="F19" s="3">
        <v>23</v>
      </c>
      <c r="G19" s="3"/>
      <c r="H19" s="3"/>
      <c r="I19" s="3"/>
      <c r="J19" s="3"/>
      <c r="K19" s="3"/>
      <c r="L19" s="3"/>
      <c r="M19" s="2">
        <v>20</v>
      </c>
      <c r="N19" s="2">
        <v>24</v>
      </c>
      <c r="O19" s="2"/>
      <c r="P19" s="2"/>
      <c r="Q19" s="2"/>
      <c r="R19" s="2"/>
      <c r="S19" s="2"/>
      <c r="T19" s="1"/>
      <c r="U19" s="4"/>
    </row>
    <row r="20" spans="1:21" ht="17.25" thickBot="1" x14ac:dyDescent="0.35">
      <c r="A20" s="15" t="s">
        <v>319</v>
      </c>
      <c r="B20" t="str">
        <f>IF(C20="", "", _xlfn.XLOOKUP(C20, 카테고리!A:A, 카테고리!B:B))</f>
        <v>GAME</v>
      </c>
      <c r="C20" t="s">
        <v>21</v>
      </c>
      <c r="D20" t="s">
        <v>59</v>
      </c>
      <c r="E20" t="s">
        <v>60</v>
      </c>
      <c r="F20" s="3"/>
      <c r="G20" s="3"/>
      <c r="H20" s="3"/>
      <c r="I20" s="3"/>
      <c r="J20" s="3"/>
      <c r="K20" s="3"/>
      <c r="L20" s="3"/>
      <c r="M20" s="2">
        <v>24</v>
      </c>
      <c r="N20" s="2"/>
      <c r="O20" s="2"/>
      <c r="P20" s="2"/>
      <c r="Q20" s="2"/>
      <c r="R20" s="2"/>
      <c r="S20" s="2"/>
      <c r="T20" s="1"/>
      <c r="U20" s="4"/>
    </row>
    <row r="21" spans="1:21" ht="17.25" thickBot="1" x14ac:dyDescent="0.35">
      <c r="A21" s="15" t="s">
        <v>319</v>
      </c>
      <c r="B21" t="str">
        <f>IF(C21="", "", _xlfn.XLOOKUP(C21, 카테고리!A:A, 카테고리!B:B))</f>
        <v>GAME</v>
      </c>
      <c r="C21" t="s">
        <v>21</v>
      </c>
      <c r="D21" t="s">
        <v>61</v>
      </c>
      <c r="E21" t="s">
        <v>25</v>
      </c>
      <c r="F21" s="3"/>
      <c r="G21" s="3"/>
      <c r="H21" s="3"/>
      <c r="I21" s="3"/>
      <c r="J21" s="3"/>
      <c r="K21" s="3"/>
      <c r="L21" s="3"/>
      <c r="M21" s="2">
        <v>26</v>
      </c>
      <c r="N21" s="2"/>
      <c r="O21" s="2"/>
      <c r="P21" s="2"/>
      <c r="Q21" s="2"/>
      <c r="R21" s="2"/>
      <c r="S21" s="2"/>
      <c r="T21" s="1"/>
      <c r="U21" s="4"/>
    </row>
    <row r="22" spans="1:21" ht="17.25" thickBot="1" x14ac:dyDescent="0.35">
      <c r="A22" s="15" t="s">
        <v>319</v>
      </c>
      <c r="B22" t="str">
        <f>IF(C22="", "", _xlfn.XLOOKUP(C22, 카테고리!A:A, 카테고리!B:B))</f>
        <v>GAME</v>
      </c>
      <c r="C22" s="13" t="s">
        <v>269</v>
      </c>
      <c r="D22" t="s">
        <v>63</v>
      </c>
      <c r="E22" t="s">
        <v>64</v>
      </c>
      <c r="F22" s="3">
        <v>26</v>
      </c>
      <c r="G22" s="3"/>
      <c r="H22" s="3"/>
      <c r="I22" s="3"/>
      <c r="J22" s="3"/>
      <c r="K22" s="3"/>
      <c r="L22" s="3"/>
      <c r="M22" s="2">
        <v>26</v>
      </c>
      <c r="N22" s="2">
        <v>30</v>
      </c>
      <c r="O22" s="2"/>
      <c r="P22" s="2"/>
      <c r="Q22" s="2"/>
      <c r="R22" s="2"/>
      <c r="S22" s="2"/>
      <c r="T22" s="1"/>
      <c r="U22" s="4"/>
    </row>
    <row r="23" spans="1:21" ht="17.25" thickBot="1" x14ac:dyDescent="0.35">
      <c r="A23" s="15" t="s">
        <v>319</v>
      </c>
      <c r="B23" t="str">
        <f>IF(C23="", "", _xlfn.XLOOKUP(C23, 카테고리!A:A, 카테고리!B:B))</f>
        <v>K-pop</v>
      </c>
      <c r="C23" t="s">
        <v>65</v>
      </c>
      <c r="D23" t="s">
        <v>66</v>
      </c>
      <c r="E23" t="s">
        <v>67</v>
      </c>
      <c r="F23" s="3"/>
      <c r="G23" s="3"/>
      <c r="H23" s="3"/>
      <c r="I23" s="3"/>
      <c r="J23" s="3"/>
      <c r="K23" s="3"/>
      <c r="L23" s="3"/>
      <c r="M23" s="2">
        <v>21</v>
      </c>
      <c r="N23" s="2"/>
      <c r="O23" s="2"/>
      <c r="P23" s="2"/>
      <c r="Q23" s="2"/>
      <c r="R23" s="2"/>
      <c r="S23" s="2"/>
      <c r="T23" s="1"/>
      <c r="U23" s="4"/>
    </row>
    <row r="24" spans="1:21" ht="17.25" thickBot="1" x14ac:dyDescent="0.35">
      <c r="A24" s="15" t="s">
        <v>319</v>
      </c>
      <c r="B24" t="str">
        <f>IF(C24="", "", _xlfn.XLOOKUP(C24, 카테고리!A:A, 카테고리!B:B))</f>
        <v>GAME</v>
      </c>
      <c r="C24" t="s">
        <v>70</v>
      </c>
      <c r="D24" t="s">
        <v>68</v>
      </c>
      <c r="E24" t="s">
        <v>69</v>
      </c>
      <c r="F24" s="3">
        <v>26</v>
      </c>
      <c r="G24" s="3"/>
      <c r="H24" s="3"/>
      <c r="I24" s="3"/>
      <c r="J24" s="3"/>
      <c r="K24" s="3"/>
      <c r="L24" s="3"/>
      <c r="M24" s="2">
        <v>25</v>
      </c>
      <c r="N24" s="2">
        <v>27</v>
      </c>
      <c r="O24" s="2">
        <v>29</v>
      </c>
      <c r="P24" s="2"/>
      <c r="Q24" s="2"/>
      <c r="R24" s="2"/>
      <c r="S24" s="2"/>
      <c r="T24" s="1"/>
      <c r="U24" s="4"/>
    </row>
    <row r="25" spans="1:21" ht="17.25" thickBot="1" x14ac:dyDescent="0.35">
      <c r="A25" s="15" t="s">
        <v>319</v>
      </c>
      <c r="B25" t="str">
        <f>IF(C25="", "", _xlfn.XLOOKUP(C25, 카테고리!A:A, 카테고리!B:B))</f>
        <v>GAME</v>
      </c>
      <c r="C25" t="s">
        <v>70</v>
      </c>
      <c r="D25" t="s">
        <v>71</v>
      </c>
      <c r="E25" t="s">
        <v>72</v>
      </c>
      <c r="F25" s="3">
        <v>23</v>
      </c>
      <c r="G25" s="3"/>
      <c r="H25" s="3"/>
      <c r="I25" s="3"/>
      <c r="J25" s="3"/>
      <c r="K25" s="3"/>
      <c r="L25" s="3"/>
      <c r="M25" s="2">
        <v>22</v>
      </c>
      <c r="N25" s="2">
        <v>24</v>
      </c>
      <c r="O25" s="2"/>
      <c r="P25" s="2"/>
      <c r="Q25" s="2"/>
      <c r="R25" s="2"/>
      <c r="S25" s="2"/>
      <c r="T25" s="1"/>
      <c r="U25" s="4"/>
    </row>
    <row r="26" spans="1:21" ht="17.25" thickBot="1" x14ac:dyDescent="0.35">
      <c r="A26" s="15" t="s">
        <v>319</v>
      </c>
      <c r="B26" t="str">
        <f>IF(C26="", "", _xlfn.XLOOKUP(C26, 카테고리!A:A, 카테고리!B:B))</f>
        <v>GAME</v>
      </c>
      <c r="C26" t="s">
        <v>73</v>
      </c>
      <c r="D26" t="s">
        <v>74</v>
      </c>
      <c r="E26" t="s">
        <v>43</v>
      </c>
      <c r="F26" s="3">
        <v>24</v>
      </c>
      <c r="G26" s="3"/>
      <c r="H26" s="3"/>
      <c r="I26" s="3"/>
      <c r="J26" s="3"/>
      <c r="K26" s="3"/>
      <c r="L26" s="3"/>
      <c r="M26" s="2">
        <v>25</v>
      </c>
      <c r="N26" s="2"/>
      <c r="O26" s="2"/>
      <c r="P26" s="2"/>
      <c r="Q26" s="2"/>
      <c r="R26" s="2"/>
      <c r="S26" s="2"/>
      <c r="T26" s="1"/>
      <c r="U26" s="4"/>
    </row>
    <row r="27" spans="1:21" ht="17.25" thickBot="1" x14ac:dyDescent="0.35">
      <c r="A27" s="15" t="s">
        <v>319</v>
      </c>
      <c r="B27" t="str">
        <f>IF(C27="", "", _xlfn.XLOOKUP(C27, 카테고리!A:A, 카테고리!B:B))</f>
        <v>GAME</v>
      </c>
      <c r="C27" s="12" t="s">
        <v>128</v>
      </c>
      <c r="D27" s="7" t="s">
        <v>77</v>
      </c>
      <c r="E27" s="13" t="s">
        <v>129</v>
      </c>
      <c r="F27" s="3"/>
      <c r="G27" s="3"/>
      <c r="H27" s="3"/>
      <c r="I27" s="3"/>
      <c r="J27" s="3"/>
      <c r="K27" s="3"/>
      <c r="L27" s="3"/>
      <c r="M27" s="2"/>
      <c r="N27" s="2"/>
      <c r="O27" s="2"/>
      <c r="P27" s="2"/>
      <c r="Q27" s="2"/>
      <c r="R27" s="2"/>
      <c r="S27" s="2"/>
      <c r="T27" s="1"/>
      <c r="U27" s="4"/>
    </row>
    <row r="28" spans="1:21" ht="17.25" thickBot="1" x14ac:dyDescent="0.35">
      <c r="A28" s="15" t="s">
        <v>319</v>
      </c>
      <c r="B28" t="str">
        <f>IF(C28="", "", _xlfn.XLOOKUP(C28, 카테고리!A:A, 카테고리!B:B))</f>
        <v>GAME</v>
      </c>
      <c r="C28" s="12" t="s">
        <v>130</v>
      </c>
      <c r="D28" s="7" t="s">
        <v>78</v>
      </c>
      <c r="E28" s="13" t="s">
        <v>131</v>
      </c>
      <c r="F28" s="3"/>
      <c r="G28" s="3"/>
      <c r="H28" s="3"/>
      <c r="I28" s="3"/>
      <c r="J28" s="3"/>
      <c r="K28" s="3"/>
      <c r="L28" s="3"/>
      <c r="M28" s="2"/>
      <c r="N28" s="2"/>
      <c r="O28" s="2"/>
      <c r="P28" s="2"/>
      <c r="Q28" s="2"/>
      <c r="R28" s="2"/>
      <c r="S28" s="2"/>
      <c r="T28" s="1"/>
      <c r="U28" s="4"/>
    </row>
    <row r="29" spans="1:21" ht="17.25" thickBot="1" x14ac:dyDescent="0.35">
      <c r="A29" s="15" t="s">
        <v>319</v>
      </c>
      <c r="B29" t="str">
        <f>IF(C29="", "", _xlfn.XLOOKUP(C29, 카테고리!A:A, 카테고리!B:B))</f>
        <v>GAME</v>
      </c>
      <c r="C29" s="12" t="s">
        <v>133</v>
      </c>
      <c r="D29" s="12" t="s">
        <v>132</v>
      </c>
      <c r="E29" s="13" t="s">
        <v>134</v>
      </c>
      <c r="F29" s="3"/>
      <c r="G29" s="3"/>
      <c r="H29" s="3"/>
      <c r="I29" s="3"/>
      <c r="J29" s="3"/>
      <c r="K29" s="3"/>
      <c r="L29" s="3"/>
      <c r="M29" s="2"/>
      <c r="N29" s="2"/>
      <c r="O29" s="2"/>
      <c r="P29" s="2"/>
      <c r="Q29" s="2"/>
      <c r="R29" s="2"/>
      <c r="S29" s="2"/>
      <c r="T29" s="1"/>
      <c r="U29" s="4"/>
    </row>
    <row r="30" spans="1:21" ht="17.25" thickBot="1" x14ac:dyDescent="0.35">
      <c r="A30" s="15" t="s">
        <v>319</v>
      </c>
      <c r="B30" t="str">
        <f>IF(C30="", "", _xlfn.XLOOKUP(C30, 카테고리!A:A, 카테고리!B:B))</f>
        <v>K-pop</v>
      </c>
      <c r="C30" s="12" t="s">
        <v>135</v>
      </c>
      <c r="D30" s="7" t="s">
        <v>79</v>
      </c>
      <c r="E30" s="13" t="s">
        <v>135</v>
      </c>
      <c r="F30" s="3"/>
      <c r="G30" s="3"/>
      <c r="H30" s="3"/>
      <c r="I30" s="3"/>
      <c r="J30" s="3"/>
      <c r="K30" s="3"/>
      <c r="L30" s="3"/>
      <c r="M30" s="2"/>
      <c r="N30" s="2"/>
      <c r="O30" s="2"/>
      <c r="P30" s="2"/>
      <c r="Q30" s="2"/>
      <c r="R30" s="2"/>
      <c r="S30" s="2"/>
      <c r="T30" s="1"/>
      <c r="U30" s="4"/>
    </row>
    <row r="31" spans="1:21" ht="17.25" thickBot="1" x14ac:dyDescent="0.35">
      <c r="A31" s="15" t="s">
        <v>319</v>
      </c>
      <c r="B31" t="str">
        <f>IF(C31="", "", _xlfn.XLOOKUP(C31, 카테고리!A:A, 카테고리!B:B))</f>
        <v>VOCALOID</v>
      </c>
      <c r="C31" s="12" t="s">
        <v>136</v>
      </c>
      <c r="D31" s="7" t="s">
        <v>80</v>
      </c>
      <c r="E31" s="13" t="s">
        <v>137</v>
      </c>
      <c r="F31" s="3"/>
      <c r="G31" s="3"/>
      <c r="H31" s="3"/>
      <c r="I31" s="3"/>
      <c r="J31" s="3"/>
      <c r="K31" s="3"/>
      <c r="L31" s="3"/>
      <c r="M31" s="2"/>
      <c r="N31" s="2"/>
      <c r="O31" s="2"/>
      <c r="P31" s="2"/>
      <c r="Q31" s="2"/>
      <c r="R31" s="2"/>
      <c r="S31" s="2"/>
      <c r="T31" s="1"/>
      <c r="U31" s="4"/>
    </row>
    <row r="32" spans="1:21" ht="17.25" thickBot="1" x14ac:dyDescent="0.35">
      <c r="A32" s="15" t="s">
        <v>319</v>
      </c>
      <c r="B32" t="str">
        <f>IF(C32="", "", _xlfn.XLOOKUP(C32, 카테고리!A:A, 카테고리!B:B))</f>
        <v>GAME</v>
      </c>
      <c r="C32" s="12" t="s">
        <v>128</v>
      </c>
      <c r="D32" s="7" t="s">
        <v>81</v>
      </c>
      <c r="E32" s="13" t="s">
        <v>129</v>
      </c>
      <c r="F32" s="3"/>
      <c r="G32" s="3"/>
      <c r="H32" s="3"/>
      <c r="I32" s="3"/>
      <c r="J32" s="3"/>
      <c r="K32" s="3"/>
      <c r="L32" s="3"/>
      <c r="M32" s="2"/>
      <c r="N32" s="2"/>
      <c r="O32" s="2"/>
      <c r="P32" s="2"/>
      <c r="Q32" s="2"/>
      <c r="R32" s="2"/>
      <c r="S32" s="2"/>
      <c r="T32" s="1"/>
      <c r="U32" s="4"/>
    </row>
    <row r="33" spans="1:21" ht="17.25" thickBot="1" x14ac:dyDescent="0.35">
      <c r="A33" s="15" t="s">
        <v>319</v>
      </c>
      <c r="B33" t="str">
        <f>IF(C33="", "", _xlfn.XLOOKUP(C33, 카테고리!A:A, 카테고리!B:B))</f>
        <v>GAME</v>
      </c>
      <c r="C33" s="12" t="s">
        <v>138</v>
      </c>
      <c r="D33" s="7" t="s">
        <v>82</v>
      </c>
      <c r="E33" s="13" t="s">
        <v>139</v>
      </c>
      <c r="F33" s="3"/>
      <c r="G33" s="3"/>
      <c r="H33" s="3"/>
      <c r="I33" s="3"/>
      <c r="J33" s="3"/>
      <c r="K33" s="3"/>
      <c r="L33" s="3"/>
      <c r="M33" s="2"/>
      <c r="N33" s="2"/>
      <c r="O33" s="2"/>
      <c r="P33" s="2"/>
      <c r="Q33" s="2"/>
      <c r="R33" s="2"/>
      <c r="S33" s="2"/>
      <c r="T33" s="1"/>
      <c r="U33" s="4"/>
    </row>
    <row r="34" spans="1:21" ht="17.25" thickBot="1" x14ac:dyDescent="0.35">
      <c r="A34" s="15" t="s">
        <v>319</v>
      </c>
      <c r="B34" t="str">
        <f>IF(C34="", "", _xlfn.XLOOKUP(C34, 카테고리!A:A, 카테고리!B:B))</f>
        <v>GAME</v>
      </c>
      <c r="C34" s="12" t="s">
        <v>140</v>
      </c>
      <c r="D34" s="7" t="s">
        <v>83</v>
      </c>
      <c r="E34" s="13" t="s">
        <v>141</v>
      </c>
      <c r="F34" s="3"/>
      <c r="G34" s="3"/>
      <c r="H34" s="3"/>
      <c r="I34" s="3"/>
      <c r="J34" s="3"/>
      <c r="K34" s="3"/>
      <c r="L34" s="3"/>
      <c r="M34" s="2"/>
      <c r="N34" s="2"/>
      <c r="O34" s="2"/>
      <c r="P34" s="2"/>
      <c r="Q34" s="2"/>
      <c r="R34" s="2"/>
      <c r="S34" s="2"/>
      <c r="T34" s="1"/>
      <c r="U34" s="4"/>
    </row>
    <row r="35" spans="1:21" ht="17.25" thickBot="1" x14ac:dyDescent="0.35">
      <c r="A35" s="15" t="s">
        <v>319</v>
      </c>
      <c r="B35" t="str">
        <f>IF(C35="", "", _xlfn.XLOOKUP(C35, 카테고리!A:A, 카테고리!B:B))</f>
        <v>GAME</v>
      </c>
      <c r="C35" s="12" t="s">
        <v>130</v>
      </c>
      <c r="D35" s="7" t="s">
        <v>84</v>
      </c>
      <c r="E35" s="13" t="s">
        <v>142</v>
      </c>
      <c r="F35" s="3"/>
      <c r="G35" s="3"/>
      <c r="H35" s="3"/>
      <c r="I35" s="3"/>
      <c r="J35" s="3"/>
      <c r="K35" s="3"/>
      <c r="L35" s="3"/>
      <c r="M35" s="2"/>
      <c r="N35" s="2"/>
      <c r="O35" s="2"/>
      <c r="P35" s="2"/>
      <c r="Q35" s="2"/>
      <c r="R35" s="2"/>
      <c r="S35" s="2"/>
      <c r="T35" s="1"/>
      <c r="U35" s="4"/>
    </row>
    <row r="36" spans="1:21" ht="17.25" thickBot="1" x14ac:dyDescent="0.35">
      <c r="A36" s="15" t="s">
        <v>319</v>
      </c>
      <c r="B36" t="str">
        <f>IF(C36="", "", _xlfn.XLOOKUP(C36, 카테고리!A:A, 카테고리!B:B))</f>
        <v>GAME</v>
      </c>
      <c r="C36" s="12" t="s">
        <v>140</v>
      </c>
      <c r="D36" s="7" t="s">
        <v>85</v>
      </c>
      <c r="E36" s="13" t="s">
        <v>143</v>
      </c>
      <c r="F36" s="3"/>
      <c r="G36" s="3"/>
      <c r="H36" s="3"/>
      <c r="I36" s="3"/>
      <c r="J36" s="3"/>
      <c r="K36" s="3"/>
      <c r="L36" s="3"/>
      <c r="M36" s="2"/>
      <c r="N36" s="2"/>
      <c r="O36" s="2"/>
      <c r="P36" s="2"/>
      <c r="Q36" s="2"/>
      <c r="R36" s="2"/>
      <c r="S36" s="2"/>
      <c r="T36" s="1"/>
      <c r="U36" s="4"/>
    </row>
    <row r="37" spans="1:21" ht="17.25" thickBot="1" x14ac:dyDescent="0.35">
      <c r="A37" s="15" t="s">
        <v>319</v>
      </c>
      <c r="B37" t="str">
        <f>IF(C37="", "", _xlfn.XLOOKUP(C37, 카테고리!A:A, 카테고리!B:B))</f>
        <v>Anime</v>
      </c>
      <c r="C37" s="12" t="s">
        <v>144</v>
      </c>
      <c r="D37" s="7" t="s">
        <v>86</v>
      </c>
      <c r="E37" s="13" t="s">
        <v>145</v>
      </c>
      <c r="F37" s="3"/>
      <c r="G37" s="3"/>
      <c r="H37" s="3"/>
      <c r="I37" s="3"/>
      <c r="J37" s="3"/>
      <c r="K37" s="3"/>
      <c r="L37" s="3"/>
      <c r="M37" s="2"/>
      <c r="N37" s="2"/>
      <c r="O37" s="2"/>
      <c r="P37" s="2"/>
      <c r="Q37" s="2"/>
      <c r="R37" s="2"/>
      <c r="S37" s="2"/>
      <c r="T37" s="1"/>
      <c r="U37" s="4"/>
    </row>
    <row r="38" spans="1:21" ht="17.25" thickBot="1" x14ac:dyDescent="0.35">
      <c r="A38" s="15" t="s">
        <v>319</v>
      </c>
      <c r="B38" t="str">
        <f>IF(C38="", "", _xlfn.XLOOKUP(C38, 카테고리!A:A, 카테고리!B:B))</f>
        <v>GAME</v>
      </c>
      <c r="C38" s="12" t="s">
        <v>130</v>
      </c>
      <c r="D38" s="7" t="s">
        <v>87</v>
      </c>
      <c r="E38" s="13" t="s">
        <v>146</v>
      </c>
      <c r="F38" s="3"/>
      <c r="G38" s="3"/>
      <c r="H38" s="3"/>
      <c r="I38" s="3"/>
      <c r="J38" s="3"/>
      <c r="K38" s="3"/>
      <c r="L38" s="3"/>
      <c r="M38" s="2"/>
      <c r="N38" s="2"/>
      <c r="O38" s="2"/>
      <c r="P38" s="2"/>
      <c r="Q38" s="2"/>
      <c r="R38" s="2"/>
      <c r="S38" s="2"/>
      <c r="T38" s="1"/>
      <c r="U38" s="4"/>
    </row>
    <row r="39" spans="1:21" ht="17.25" thickBot="1" x14ac:dyDescent="0.35">
      <c r="A39" s="15" t="s">
        <v>319</v>
      </c>
      <c r="B39" t="str">
        <f>IF(C39="", "", _xlfn.XLOOKUP(C39, 카테고리!A:A, 카테고리!B:B))</f>
        <v>Anime</v>
      </c>
      <c r="C39" s="12" t="s">
        <v>144</v>
      </c>
      <c r="D39" s="7" t="s">
        <v>88</v>
      </c>
      <c r="E39" s="13" t="s">
        <v>145</v>
      </c>
      <c r="F39" s="3"/>
      <c r="G39" s="3"/>
      <c r="H39" s="3"/>
      <c r="I39" s="3"/>
      <c r="J39" s="3"/>
      <c r="K39" s="3"/>
      <c r="L39" s="3"/>
      <c r="M39" s="2"/>
      <c r="N39" s="2"/>
      <c r="O39" s="2"/>
      <c r="P39" s="2"/>
      <c r="Q39" s="2"/>
      <c r="R39" s="2"/>
      <c r="S39" s="2"/>
      <c r="T39" s="1"/>
      <c r="U39" s="4"/>
    </row>
    <row r="40" spans="1:21" ht="17.25" thickBot="1" x14ac:dyDescent="0.35">
      <c r="A40" s="15" t="s">
        <v>319</v>
      </c>
      <c r="B40" t="str">
        <f>IF(C40="", "", _xlfn.XLOOKUP(C40, 카테고리!A:A, 카테고리!B:B))</f>
        <v>Anime</v>
      </c>
      <c r="C40" s="12" t="s">
        <v>144</v>
      </c>
      <c r="D40" s="7" t="s">
        <v>89</v>
      </c>
      <c r="E40" s="13" t="s">
        <v>147</v>
      </c>
      <c r="F40" s="3"/>
      <c r="G40" s="3"/>
      <c r="H40" s="3"/>
      <c r="I40" s="3"/>
      <c r="J40" s="3"/>
      <c r="K40" s="3"/>
      <c r="L40" s="3"/>
      <c r="M40" s="2"/>
      <c r="N40" s="2"/>
      <c r="O40" s="2"/>
      <c r="P40" s="2"/>
      <c r="Q40" s="2"/>
      <c r="R40" s="2"/>
      <c r="S40" s="2"/>
      <c r="T40" s="1"/>
      <c r="U40" s="4"/>
    </row>
    <row r="41" spans="1:21" ht="17.25" thickBot="1" x14ac:dyDescent="0.35">
      <c r="A41" s="15" t="s">
        <v>319</v>
      </c>
      <c r="B41" t="str">
        <f>IF(C41="", "", _xlfn.XLOOKUP(C41, 카테고리!A:A, 카테고리!B:B))</f>
        <v>GAME</v>
      </c>
      <c r="C41" s="12" t="s">
        <v>140</v>
      </c>
      <c r="D41" s="7" t="s">
        <v>90</v>
      </c>
      <c r="E41" s="13" t="s">
        <v>148</v>
      </c>
      <c r="F41" s="3"/>
      <c r="G41" s="3"/>
      <c r="H41" s="3"/>
      <c r="I41" s="3"/>
      <c r="J41" s="3"/>
      <c r="K41" s="3"/>
      <c r="L41" s="3"/>
      <c r="M41" s="2"/>
      <c r="N41" s="2"/>
      <c r="O41" s="2"/>
      <c r="P41" s="2"/>
      <c r="Q41" s="2"/>
      <c r="R41" s="2"/>
      <c r="S41" s="2"/>
      <c r="T41" s="1"/>
      <c r="U41" s="4"/>
    </row>
    <row r="42" spans="1:21" ht="17.25" thickBot="1" x14ac:dyDescent="0.35">
      <c r="A42" s="15" t="s">
        <v>319</v>
      </c>
      <c r="B42" t="str">
        <f>IF(C42="", "", _xlfn.XLOOKUP(C42, 카테고리!A:A, 카테고리!B:B))</f>
        <v>VOCALOID</v>
      </c>
      <c r="C42" s="12" t="s">
        <v>149</v>
      </c>
      <c r="D42" s="7" t="s">
        <v>91</v>
      </c>
      <c r="E42" s="13" t="s">
        <v>150</v>
      </c>
      <c r="F42" s="3"/>
      <c r="G42" s="3"/>
      <c r="H42" s="3"/>
      <c r="I42" s="3"/>
      <c r="J42" s="3"/>
      <c r="K42" s="3"/>
      <c r="L42" s="3"/>
      <c r="M42" s="2"/>
      <c r="N42" s="2"/>
      <c r="O42" s="2"/>
      <c r="P42" s="2"/>
      <c r="Q42" s="2"/>
      <c r="R42" s="2"/>
      <c r="S42" s="2"/>
      <c r="T42" s="1"/>
      <c r="U42" s="4"/>
    </row>
    <row r="43" spans="1:21" ht="17.25" thickBot="1" x14ac:dyDescent="0.35">
      <c r="A43" s="15" t="s">
        <v>319</v>
      </c>
      <c r="B43" t="str">
        <f>IF(C43="", "", _xlfn.XLOOKUP(C43, 카테고리!A:A, 카테고리!B:B))</f>
        <v>Anime</v>
      </c>
      <c r="C43" s="12" t="s">
        <v>144</v>
      </c>
      <c r="D43" s="7" t="s">
        <v>92</v>
      </c>
      <c r="E43" s="13" t="s">
        <v>147</v>
      </c>
      <c r="F43" s="3"/>
      <c r="G43" s="3"/>
      <c r="H43" s="3"/>
      <c r="I43" s="3"/>
      <c r="J43" s="3"/>
      <c r="K43" s="3"/>
      <c r="L43" s="3"/>
      <c r="M43" s="2"/>
      <c r="N43" s="2"/>
      <c r="O43" s="2"/>
      <c r="P43" s="2"/>
      <c r="Q43" s="2"/>
      <c r="R43" s="2"/>
      <c r="S43" s="2"/>
      <c r="T43" s="1"/>
      <c r="U43" s="4"/>
    </row>
    <row r="44" spans="1:21" ht="17.25" thickBot="1" x14ac:dyDescent="0.35">
      <c r="A44" s="15" t="s">
        <v>319</v>
      </c>
      <c r="B44" t="str">
        <f>IF(C44="", "", _xlfn.XLOOKUP(C44, 카테고리!A:A, 카테고리!B:B))</f>
        <v>GAME</v>
      </c>
      <c r="C44" s="12" t="s">
        <v>133</v>
      </c>
      <c r="D44" s="7" t="s">
        <v>93</v>
      </c>
      <c r="E44" s="13" t="s">
        <v>151</v>
      </c>
      <c r="F44" s="3"/>
      <c r="G44" s="3"/>
      <c r="H44" s="3"/>
      <c r="I44" s="3"/>
      <c r="J44" s="3"/>
      <c r="K44" s="3"/>
      <c r="L44" s="3"/>
      <c r="M44" s="2"/>
      <c r="N44" s="2"/>
      <c r="O44" s="2"/>
      <c r="P44" s="2"/>
      <c r="Q44" s="2"/>
      <c r="R44" s="2"/>
      <c r="S44" s="2"/>
      <c r="T44" s="1"/>
      <c r="U44" s="4"/>
    </row>
    <row r="45" spans="1:21" ht="17.25" thickBot="1" x14ac:dyDescent="0.35">
      <c r="A45" s="15" t="s">
        <v>319</v>
      </c>
      <c r="B45" t="str">
        <f>IF(C45="", "", _xlfn.XLOOKUP(C45, 카테고리!A:A, 카테고리!B:B))</f>
        <v>K-pop</v>
      </c>
      <c r="C45" s="12" t="s">
        <v>152</v>
      </c>
      <c r="D45" s="7" t="s">
        <v>94</v>
      </c>
      <c r="E45" s="13" t="s">
        <v>152</v>
      </c>
      <c r="F45" s="3"/>
      <c r="G45" s="3"/>
      <c r="H45" s="3"/>
      <c r="I45" s="3"/>
      <c r="J45" s="3"/>
      <c r="K45" s="3"/>
      <c r="L45" s="3"/>
      <c r="M45" s="2"/>
      <c r="N45" s="2"/>
      <c r="O45" s="2"/>
      <c r="P45" s="2"/>
      <c r="Q45" s="2"/>
      <c r="R45" s="2"/>
      <c r="S45" s="2"/>
      <c r="T45" s="1"/>
      <c r="U45" s="4"/>
    </row>
    <row r="46" spans="1:21" ht="17.25" thickBot="1" x14ac:dyDescent="0.35">
      <c r="A46" s="15" t="s">
        <v>319</v>
      </c>
      <c r="B46" t="str">
        <f>IF(C46="", "", _xlfn.XLOOKUP(C46, 카테고리!A:A, 카테고리!B:B))</f>
        <v>K-pop</v>
      </c>
      <c r="C46" s="12" t="s">
        <v>153</v>
      </c>
      <c r="D46" s="7" t="s">
        <v>95</v>
      </c>
      <c r="E46" s="13" t="s">
        <v>153</v>
      </c>
      <c r="F46" s="3"/>
      <c r="G46" s="3"/>
      <c r="H46" s="3"/>
      <c r="I46" s="3"/>
      <c r="J46" s="3"/>
      <c r="K46" s="3"/>
      <c r="L46" s="3"/>
      <c r="M46" s="2"/>
      <c r="N46" s="2"/>
      <c r="O46" s="2"/>
      <c r="P46" s="2"/>
      <c r="Q46" s="2"/>
      <c r="R46" s="2"/>
      <c r="S46" s="2"/>
      <c r="T46" s="1"/>
      <c r="U46" s="4"/>
    </row>
    <row r="47" spans="1:21" ht="17.25" thickBot="1" x14ac:dyDescent="0.35">
      <c r="A47" s="15" t="s">
        <v>319</v>
      </c>
      <c r="B47" t="str">
        <f>IF(C47="", "", _xlfn.XLOOKUP(C47, 카테고리!A:A, 카테고리!B:B))</f>
        <v>GAME</v>
      </c>
      <c r="C47" s="12" t="s">
        <v>154</v>
      </c>
      <c r="D47" s="7" t="s">
        <v>96</v>
      </c>
      <c r="E47" s="13" t="s">
        <v>155</v>
      </c>
      <c r="F47" s="3"/>
      <c r="G47" s="3"/>
      <c r="H47" s="3"/>
      <c r="I47" s="3"/>
      <c r="J47" s="3"/>
      <c r="K47" s="3"/>
      <c r="L47" s="3"/>
      <c r="M47" s="2"/>
      <c r="N47" s="2"/>
      <c r="O47" s="2"/>
      <c r="P47" s="2"/>
      <c r="Q47" s="2"/>
      <c r="R47" s="2"/>
      <c r="S47" s="2"/>
      <c r="T47" s="1"/>
      <c r="U47" s="4"/>
    </row>
    <row r="48" spans="1:21" ht="17.25" thickBot="1" x14ac:dyDescent="0.35">
      <c r="A48" s="15" t="s">
        <v>319</v>
      </c>
      <c r="B48" t="str">
        <f>IF(C48="", "", _xlfn.XLOOKUP(C48, 카테고리!A:A, 카테고리!B:B))</f>
        <v>GAME</v>
      </c>
      <c r="C48" s="12" t="s">
        <v>138</v>
      </c>
      <c r="D48" s="7" t="s">
        <v>97</v>
      </c>
      <c r="E48" s="13" t="s">
        <v>156</v>
      </c>
      <c r="F48" s="3"/>
      <c r="G48" s="3"/>
      <c r="H48" s="3"/>
      <c r="I48" s="3"/>
      <c r="J48" s="3"/>
      <c r="K48" s="3"/>
      <c r="L48" s="3"/>
      <c r="M48" s="2"/>
      <c r="N48" s="2"/>
      <c r="O48" s="2"/>
      <c r="P48" s="2"/>
      <c r="Q48" s="2"/>
      <c r="R48" s="2"/>
      <c r="S48" s="2"/>
      <c r="T48" s="1"/>
      <c r="U48" s="4"/>
    </row>
    <row r="49" spans="1:21" ht="17.25" thickBot="1" x14ac:dyDescent="0.35">
      <c r="A49" s="15" t="s">
        <v>319</v>
      </c>
      <c r="B49" t="str">
        <f>IF(C49="", "", _xlfn.XLOOKUP(C49, 카테고리!A:A, 카테고리!B:B))</f>
        <v>GAME</v>
      </c>
      <c r="C49" s="12" t="s">
        <v>140</v>
      </c>
      <c r="D49" s="7" t="s">
        <v>98</v>
      </c>
      <c r="E49" s="13" t="s">
        <v>157</v>
      </c>
      <c r="F49" s="3"/>
      <c r="G49" s="3"/>
      <c r="H49" s="3"/>
      <c r="I49" s="3"/>
      <c r="J49" s="3"/>
      <c r="K49" s="3"/>
      <c r="L49" s="3"/>
      <c r="M49" s="2"/>
      <c r="N49" s="2"/>
      <c r="O49" s="2"/>
      <c r="P49" s="2"/>
      <c r="Q49" s="2"/>
      <c r="R49" s="2"/>
      <c r="S49" s="2"/>
      <c r="T49" s="1"/>
      <c r="U49" s="4"/>
    </row>
    <row r="50" spans="1:21" ht="17.25" thickBot="1" x14ac:dyDescent="0.35">
      <c r="A50" s="15" t="s">
        <v>319</v>
      </c>
      <c r="B50" t="str">
        <f>IF(C50="", "", _xlfn.XLOOKUP(C50, 카테고리!A:A, 카테고리!B:B))</f>
        <v>GAME</v>
      </c>
      <c r="C50" s="12" t="s">
        <v>158</v>
      </c>
      <c r="D50" s="7" t="s">
        <v>99</v>
      </c>
      <c r="E50" s="13" t="s">
        <v>159</v>
      </c>
      <c r="F50" s="3"/>
      <c r="G50" s="3"/>
      <c r="H50" s="3"/>
      <c r="I50" s="3"/>
      <c r="J50" s="3"/>
      <c r="K50" s="3"/>
      <c r="L50" s="3"/>
      <c r="M50" s="2"/>
      <c r="N50" s="2"/>
      <c r="O50" s="2"/>
      <c r="P50" s="2"/>
      <c r="Q50" s="2"/>
      <c r="R50" s="2"/>
      <c r="S50" s="2"/>
      <c r="T50" s="1"/>
      <c r="U50" s="4"/>
    </row>
    <row r="51" spans="1:21" ht="17.25" thickBot="1" x14ac:dyDescent="0.35">
      <c r="A51" s="15" t="s">
        <v>319</v>
      </c>
      <c r="B51" t="str">
        <f>IF(C51="", "", _xlfn.XLOOKUP(C51, 카테고리!A:A, 카테고리!B:B))</f>
        <v>GAME</v>
      </c>
      <c r="C51" s="12" t="s">
        <v>140</v>
      </c>
      <c r="D51" s="7" t="s">
        <v>100</v>
      </c>
      <c r="E51" s="13" t="s">
        <v>155</v>
      </c>
      <c r="F51" s="3"/>
      <c r="G51" s="3"/>
      <c r="H51" s="3"/>
      <c r="I51" s="3"/>
      <c r="J51" s="3"/>
      <c r="K51" s="3"/>
      <c r="L51" s="3"/>
      <c r="M51" s="2"/>
      <c r="N51" s="2"/>
      <c r="O51" s="2"/>
      <c r="P51" s="2"/>
      <c r="Q51" s="2"/>
      <c r="R51" s="2"/>
      <c r="S51" s="2"/>
      <c r="T51" s="1"/>
      <c r="U51" s="4"/>
    </row>
    <row r="52" spans="1:21" ht="17.25" thickBot="1" x14ac:dyDescent="0.35">
      <c r="A52" s="15" t="s">
        <v>319</v>
      </c>
      <c r="B52" t="str">
        <f>IF(C52="", "", _xlfn.XLOOKUP(C52, 카테고리!A:A, 카테고리!B:B))</f>
        <v>GAME</v>
      </c>
      <c r="C52" s="12" t="s">
        <v>138</v>
      </c>
      <c r="D52" s="7" t="s">
        <v>101</v>
      </c>
      <c r="E52" s="13" t="s">
        <v>160</v>
      </c>
      <c r="F52" s="3"/>
      <c r="G52" s="3"/>
      <c r="H52" s="3"/>
      <c r="I52" s="3"/>
      <c r="J52" s="3"/>
      <c r="K52" s="3"/>
      <c r="L52" s="3"/>
      <c r="M52" s="2"/>
      <c r="N52" s="2"/>
      <c r="O52" s="2"/>
      <c r="P52" s="2"/>
      <c r="Q52" s="2"/>
      <c r="R52" s="2"/>
      <c r="S52" s="2"/>
      <c r="T52" s="1"/>
      <c r="U52" s="4"/>
    </row>
    <row r="53" spans="1:21" ht="17.25" thickBot="1" x14ac:dyDescent="0.35">
      <c r="A53" s="15" t="s">
        <v>319</v>
      </c>
      <c r="B53" t="str">
        <f>IF(C53="", "", _xlfn.XLOOKUP(C53, 카테고리!A:A, 카테고리!B:B))</f>
        <v>Anime</v>
      </c>
      <c r="C53" s="12" t="s">
        <v>144</v>
      </c>
      <c r="D53" s="7" t="s">
        <v>102</v>
      </c>
      <c r="E53" s="13" t="s">
        <v>161</v>
      </c>
      <c r="F53" s="3"/>
      <c r="G53" s="3"/>
      <c r="H53" s="3"/>
      <c r="I53" s="3"/>
      <c r="J53" s="3"/>
      <c r="K53" s="3"/>
      <c r="L53" s="3"/>
      <c r="M53" s="2"/>
      <c r="N53" s="2"/>
      <c r="O53" s="2"/>
      <c r="P53" s="2"/>
      <c r="Q53" s="2"/>
      <c r="R53" s="2"/>
      <c r="S53" s="2"/>
      <c r="T53" s="1"/>
      <c r="U53" s="4"/>
    </row>
    <row r="54" spans="1:21" ht="17.25" thickBot="1" x14ac:dyDescent="0.35">
      <c r="A54" s="15" t="s">
        <v>319</v>
      </c>
      <c r="B54" t="str">
        <f>IF(C54="", "", _xlfn.XLOOKUP(C54, 카테고리!A:A, 카테고리!B:B))</f>
        <v>Anime</v>
      </c>
      <c r="C54" s="12" t="s">
        <v>144</v>
      </c>
      <c r="D54" s="7" t="s">
        <v>103</v>
      </c>
      <c r="E54" s="13" t="s">
        <v>162</v>
      </c>
      <c r="F54" s="3"/>
      <c r="G54" s="3"/>
      <c r="H54" s="3"/>
      <c r="I54" s="3"/>
      <c r="J54" s="3"/>
      <c r="K54" s="3"/>
      <c r="L54" s="3"/>
      <c r="M54" s="2"/>
      <c r="N54" s="2"/>
      <c r="O54" s="2"/>
      <c r="P54" s="2"/>
      <c r="Q54" s="2"/>
      <c r="R54" s="2"/>
      <c r="S54" s="2"/>
      <c r="T54" s="1"/>
      <c r="U54" s="4"/>
    </row>
    <row r="55" spans="1:21" ht="17.25" thickBot="1" x14ac:dyDescent="0.35">
      <c r="A55" s="15" t="s">
        <v>319</v>
      </c>
      <c r="B55" t="str">
        <f>IF(C55="", "", _xlfn.XLOOKUP(C55, 카테고리!A:A, 카테고리!B:B))</f>
        <v>ORIGINAL</v>
      </c>
      <c r="C55" s="12" t="s">
        <v>164</v>
      </c>
      <c r="D55" s="7" t="s">
        <v>104</v>
      </c>
      <c r="E55" s="13" t="s">
        <v>163</v>
      </c>
      <c r="F55" s="3"/>
      <c r="G55" s="3"/>
      <c r="H55" s="3"/>
      <c r="I55" s="3"/>
      <c r="J55" s="3"/>
      <c r="K55" s="3"/>
      <c r="L55" s="3"/>
      <c r="M55" s="2"/>
      <c r="N55" s="2"/>
      <c r="O55" s="2"/>
      <c r="P55" s="2"/>
      <c r="Q55" s="2"/>
      <c r="R55" s="2"/>
      <c r="S55" s="2"/>
      <c r="T55" s="1"/>
      <c r="U55" s="4"/>
    </row>
    <row r="56" spans="1:21" ht="17.25" thickBot="1" x14ac:dyDescent="0.35">
      <c r="A56" s="15" t="s">
        <v>319</v>
      </c>
      <c r="B56" t="str">
        <f>IF(C56="", "", _xlfn.XLOOKUP(C56, 카테고리!A:A, 카테고리!B:B))</f>
        <v>GAME</v>
      </c>
      <c r="C56" s="12" t="s">
        <v>128</v>
      </c>
      <c r="D56" s="7" t="s">
        <v>105</v>
      </c>
      <c r="E56" s="13" t="s">
        <v>129</v>
      </c>
      <c r="F56" s="3"/>
      <c r="G56" s="3"/>
      <c r="H56" s="3"/>
      <c r="I56" s="3"/>
      <c r="J56" s="3"/>
      <c r="K56" s="3"/>
      <c r="L56" s="3"/>
      <c r="M56" s="2"/>
      <c r="N56" s="2"/>
      <c r="O56" s="2"/>
      <c r="P56" s="2"/>
      <c r="Q56" s="2"/>
      <c r="R56" s="2"/>
      <c r="S56" s="2"/>
      <c r="T56" s="1"/>
      <c r="U56" s="4"/>
    </row>
    <row r="57" spans="1:21" ht="17.25" thickBot="1" x14ac:dyDescent="0.35">
      <c r="A57" s="15" t="s">
        <v>319</v>
      </c>
      <c r="B57" t="str">
        <f>IF(C57="", "", _xlfn.XLOOKUP(C57, 카테고리!A:A, 카테고리!B:B))</f>
        <v>GAME</v>
      </c>
      <c r="C57" s="12" t="s">
        <v>165</v>
      </c>
      <c r="D57" s="7" t="s">
        <v>106</v>
      </c>
      <c r="E57" s="13" t="s">
        <v>166</v>
      </c>
      <c r="F57" s="3"/>
      <c r="G57" s="3"/>
      <c r="H57" s="3"/>
      <c r="I57" s="3"/>
      <c r="J57" s="3"/>
      <c r="K57" s="3"/>
      <c r="L57" s="3"/>
      <c r="M57" s="2"/>
      <c r="N57" s="2"/>
      <c r="O57" s="2"/>
      <c r="P57" s="2"/>
      <c r="Q57" s="2"/>
      <c r="R57" s="2"/>
      <c r="S57" s="2"/>
      <c r="T57" s="1"/>
      <c r="U57" s="4"/>
    </row>
    <row r="58" spans="1:21" ht="17.25" thickBot="1" x14ac:dyDescent="0.35">
      <c r="A58" s="15" t="s">
        <v>319</v>
      </c>
      <c r="B58" t="str">
        <f>IF(C58="", "", _xlfn.XLOOKUP(C58, 카테고리!A:A, 카테고리!B:B))</f>
        <v>Anime</v>
      </c>
      <c r="C58" s="12" t="s">
        <v>144</v>
      </c>
      <c r="D58" s="7" t="s">
        <v>107</v>
      </c>
      <c r="E58" s="13" t="s">
        <v>167</v>
      </c>
      <c r="F58" s="3"/>
      <c r="G58" s="3"/>
      <c r="H58" s="3"/>
      <c r="I58" s="3"/>
      <c r="J58" s="3"/>
      <c r="K58" s="3"/>
      <c r="L58" s="3"/>
      <c r="M58" s="2"/>
      <c r="N58" s="2"/>
      <c r="O58" s="2"/>
      <c r="P58" s="2"/>
      <c r="Q58" s="2"/>
      <c r="R58" s="2"/>
      <c r="S58" s="2"/>
      <c r="T58" s="1"/>
      <c r="U58" s="4"/>
    </row>
    <row r="59" spans="1:21" ht="17.25" thickBot="1" x14ac:dyDescent="0.35">
      <c r="A59" s="15" t="s">
        <v>319</v>
      </c>
      <c r="B59" t="str">
        <f>IF(C59="", "", _xlfn.XLOOKUP(C59, 카테고리!A:A, 카테고리!B:B))</f>
        <v>GAME</v>
      </c>
      <c r="C59" s="12" t="s">
        <v>168</v>
      </c>
      <c r="D59" s="7" t="s">
        <v>108</v>
      </c>
      <c r="E59" s="13" t="s">
        <v>285</v>
      </c>
      <c r="F59" s="3"/>
      <c r="G59" s="3"/>
      <c r="H59" s="3"/>
      <c r="I59" s="3"/>
      <c r="J59" s="3"/>
      <c r="K59" s="3"/>
      <c r="L59" s="3"/>
      <c r="M59" s="2"/>
      <c r="N59" s="2"/>
      <c r="O59" s="2"/>
      <c r="P59" s="2"/>
      <c r="Q59" s="2"/>
      <c r="R59" s="2"/>
      <c r="S59" s="2"/>
      <c r="T59" s="1"/>
      <c r="U59" s="4"/>
    </row>
    <row r="60" spans="1:21" ht="17.25" thickBot="1" x14ac:dyDescent="0.35">
      <c r="A60" s="15" t="s">
        <v>319</v>
      </c>
      <c r="B60" t="str">
        <f>IF(C60="", "", _xlfn.XLOOKUP(C60, 카테고리!A:A, 카테고리!B:B))</f>
        <v>GAME</v>
      </c>
      <c r="C60" s="12" t="s">
        <v>169</v>
      </c>
      <c r="D60" s="12" t="s">
        <v>170</v>
      </c>
      <c r="E60" s="13" t="s">
        <v>171</v>
      </c>
      <c r="F60" s="3"/>
      <c r="G60" s="3"/>
      <c r="H60" s="3"/>
      <c r="I60" s="3"/>
      <c r="J60" s="3"/>
      <c r="K60" s="3"/>
      <c r="L60" s="3"/>
      <c r="M60" s="2"/>
      <c r="N60" s="2"/>
      <c r="O60" s="2"/>
      <c r="P60" s="2"/>
      <c r="Q60" s="2"/>
      <c r="R60" s="2"/>
      <c r="S60" s="2"/>
      <c r="T60" s="1"/>
      <c r="U60" s="4"/>
    </row>
    <row r="61" spans="1:21" ht="17.25" thickBot="1" x14ac:dyDescent="0.35">
      <c r="A61" s="15" t="s">
        <v>319</v>
      </c>
      <c r="B61" t="str">
        <f>IF(C61="", "", _xlfn.XLOOKUP(C61, 카테고리!A:A, 카테고리!B:B))</f>
        <v>GAME</v>
      </c>
      <c r="C61" s="12" t="s">
        <v>138</v>
      </c>
      <c r="D61" s="7" t="s">
        <v>109</v>
      </c>
      <c r="E61" s="13" t="s">
        <v>173</v>
      </c>
      <c r="F61" s="3"/>
      <c r="G61" s="3"/>
      <c r="H61" s="3"/>
      <c r="I61" s="3"/>
      <c r="J61" s="3"/>
      <c r="K61" s="3"/>
      <c r="L61" s="3"/>
      <c r="M61" s="2"/>
      <c r="N61" s="2"/>
      <c r="O61" s="2"/>
      <c r="P61" s="2"/>
      <c r="Q61" s="2"/>
      <c r="R61" s="2"/>
      <c r="S61" s="2"/>
      <c r="T61" s="1"/>
      <c r="U61" s="4"/>
    </row>
    <row r="62" spans="1:21" ht="17.25" thickBot="1" x14ac:dyDescent="0.35">
      <c r="A62" s="15" t="s">
        <v>319</v>
      </c>
      <c r="B62" t="str">
        <f>IF(C62="", "", _xlfn.XLOOKUP(C62, 카테고리!A:A, 카테고리!B:B))</f>
        <v>GAME</v>
      </c>
      <c r="C62" s="12" t="s">
        <v>138</v>
      </c>
      <c r="D62" s="7" t="s">
        <v>110</v>
      </c>
      <c r="E62" s="13" t="s">
        <v>173</v>
      </c>
      <c r="F62" s="3"/>
      <c r="G62" s="3"/>
      <c r="H62" s="3"/>
      <c r="I62" s="3"/>
      <c r="J62" s="3"/>
      <c r="K62" s="3"/>
      <c r="L62" s="3"/>
      <c r="M62" s="2"/>
      <c r="N62" s="2"/>
      <c r="O62" s="2"/>
      <c r="P62" s="2"/>
      <c r="Q62" s="2"/>
      <c r="R62" s="2"/>
      <c r="S62" s="2"/>
      <c r="T62" s="1"/>
      <c r="U62" s="4"/>
    </row>
    <row r="63" spans="1:21" ht="17.25" thickBot="1" x14ac:dyDescent="0.35">
      <c r="A63" s="15" t="s">
        <v>319</v>
      </c>
      <c r="B63" t="str">
        <f>IF(C63="", "", _xlfn.XLOOKUP(C63, 카테고리!A:A, 카테고리!B:B))</f>
        <v>GAME</v>
      </c>
      <c r="C63" s="12" t="s">
        <v>140</v>
      </c>
      <c r="D63" s="7" t="s">
        <v>111</v>
      </c>
      <c r="E63" s="13" t="s">
        <v>174</v>
      </c>
      <c r="F63" s="3"/>
      <c r="G63" s="3"/>
      <c r="H63" s="3"/>
      <c r="I63" s="3"/>
      <c r="J63" s="3"/>
      <c r="K63" s="3"/>
      <c r="L63" s="3"/>
      <c r="M63" s="2"/>
      <c r="N63" s="2"/>
      <c r="O63" s="2"/>
      <c r="P63" s="2"/>
      <c r="Q63" s="2"/>
      <c r="R63" s="2"/>
      <c r="S63" s="2"/>
      <c r="T63" s="1"/>
      <c r="U63" s="4"/>
    </row>
    <row r="64" spans="1:21" ht="17.25" thickBot="1" x14ac:dyDescent="0.35">
      <c r="A64" s="15" t="s">
        <v>319</v>
      </c>
      <c r="B64" t="str">
        <f>IF(C64="", "", _xlfn.XLOOKUP(C64, 카테고리!A:A, 카테고리!B:B))</f>
        <v>GAME</v>
      </c>
      <c r="C64" s="12" t="s">
        <v>176</v>
      </c>
      <c r="D64" s="7" t="s">
        <v>112</v>
      </c>
      <c r="E64" s="13" t="s">
        <v>155</v>
      </c>
      <c r="F64" s="3"/>
      <c r="G64" s="3"/>
      <c r="H64" s="3"/>
      <c r="I64" s="3"/>
      <c r="J64" s="3"/>
      <c r="K64" s="3"/>
      <c r="L64" s="3"/>
      <c r="M64" s="2"/>
      <c r="N64" s="2"/>
      <c r="O64" s="2"/>
      <c r="P64" s="2"/>
      <c r="Q64" s="2"/>
      <c r="R64" s="2"/>
      <c r="S64" s="2"/>
      <c r="T64" s="1"/>
      <c r="U64" s="4"/>
    </row>
    <row r="65" spans="1:21" ht="17.25" thickBot="1" x14ac:dyDescent="0.35">
      <c r="A65" s="15" t="s">
        <v>319</v>
      </c>
      <c r="B65" t="str">
        <f>IF(C65="", "", _xlfn.XLOOKUP(C65, 카테고리!A:A, 카테고리!B:B))</f>
        <v>GAME</v>
      </c>
      <c r="C65" s="12" t="s">
        <v>154</v>
      </c>
      <c r="D65" s="7" t="s">
        <v>113</v>
      </c>
      <c r="E65" s="13" t="s">
        <v>155</v>
      </c>
      <c r="F65" s="3"/>
      <c r="G65" s="3"/>
      <c r="H65" s="3"/>
      <c r="I65" s="3"/>
      <c r="J65" s="3"/>
      <c r="K65" s="3"/>
      <c r="L65" s="3"/>
      <c r="M65" s="2"/>
      <c r="N65" s="2"/>
      <c r="O65" s="2"/>
      <c r="P65" s="2"/>
      <c r="Q65" s="2"/>
      <c r="R65" s="2"/>
      <c r="S65" s="2"/>
      <c r="T65" s="1"/>
      <c r="U65" s="4"/>
    </row>
    <row r="66" spans="1:21" ht="17.25" thickBot="1" x14ac:dyDescent="0.35">
      <c r="A66" s="15" t="s">
        <v>319</v>
      </c>
      <c r="B66" t="str">
        <f>IF(C66="", "", _xlfn.XLOOKUP(C66, 카테고리!A:A, 카테고리!B:B))</f>
        <v>VOCALOID</v>
      </c>
      <c r="C66" s="12" t="s">
        <v>181</v>
      </c>
      <c r="D66" s="7" t="s">
        <v>114</v>
      </c>
      <c r="E66" s="13" t="s">
        <v>179</v>
      </c>
      <c r="F66" s="3"/>
      <c r="G66" s="3"/>
      <c r="H66" s="3"/>
      <c r="I66" s="3"/>
      <c r="J66" s="3"/>
      <c r="K66" s="3"/>
      <c r="L66" s="3"/>
      <c r="M66" s="2"/>
      <c r="N66" s="2"/>
      <c r="O66" s="2"/>
      <c r="P66" s="2"/>
      <c r="Q66" s="2"/>
      <c r="R66" s="2"/>
      <c r="S66" s="2"/>
      <c r="T66" s="1"/>
      <c r="U66" s="4"/>
    </row>
    <row r="67" spans="1:21" ht="17.25" thickBot="1" x14ac:dyDescent="0.35">
      <c r="A67" s="15" t="s">
        <v>319</v>
      </c>
      <c r="B67" t="str">
        <f>IF(C67="", "", _xlfn.XLOOKUP(C67, 카테고리!A:A, 카테고리!B:B))</f>
        <v>GAME</v>
      </c>
      <c r="C67" s="12" t="s">
        <v>168</v>
      </c>
      <c r="D67" s="7" t="s">
        <v>115</v>
      </c>
      <c r="E67" s="13" t="s">
        <v>285</v>
      </c>
      <c r="F67" s="3"/>
      <c r="G67" s="3"/>
      <c r="H67" s="3"/>
      <c r="I67" s="3"/>
      <c r="J67" s="3"/>
      <c r="K67" s="3"/>
      <c r="L67" s="3"/>
      <c r="M67" s="2"/>
      <c r="N67" s="2"/>
      <c r="O67" s="2"/>
      <c r="P67" s="2"/>
      <c r="Q67" s="2"/>
      <c r="R67" s="2"/>
      <c r="S67" s="2"/>
      <c r="T67" s="1"/>
      <c r="U67" s="4"/>
    </row>
    <row r="68" spans="1:21" ht="17.25" thickBot="1" x14ac:dyDescent="0.35">
      <c r="A68" s="15" t="s">
        <v>319</v>
      </c>
      <c r="B68" t="str">
        <f>IF(C68="", "", _xlfn.XLOOKUP(C68, 카테고리!A:A, 카테고리!B:B))</f>
        <v>Anime</v>
      </c>
      <c r="C68" s="12" t="s">
        <v>144</v>
      </c>
      <c r="D68" s="7" t="s">
        <v>116</v>
      </c>
      <c r="E68" s="13" t="s">
        <v>161</v>
      </c>
      <c r="F68" s="3"/>
      <c r="G68" s="3"/>
      <c r="H68" s="3"/>
      <c r="I68" s="3"/>
      <c r="J68" s="3"/>
      <c r="K68" s="3"/>
      <c r="L68" s="3"/>
      <c r="M68" s="2"/>
      <c r="N68" s="2"/>
      <c r="O68" s="2"/>
      <c r="P68" s="2"/>
      <c r="Q68" s="2"/>
      <c r="R68" s="2"/>
      <c r="S68" s="2"/>
      <c r="T68" s="1"/>
      <c r="U68" s="4"/>
    </row>
    <row r="69" spans="1:21" ht="17.25" thickBot="1" x14ac:dyDescent="0.35">
      <c r="A69" s="15" t="s">
        <v>319</v>
      </c>
      <c r="B69" t="str">
        <f>IF(C69="", "", _xlfn.XLOOKUP(C69, 카테고리!A:A, 카테고리!B:B))</f>
        <v>Anime</v>
      </c>
      <c r="C69" s="12" t="s">
        <v>144</v>
      </c>
      <c r="D69" s="7" t="s">
        <v>117</v>
      </c>
      <c r="E69" s="13" t="s">
        <v>161</v>
      </c>
      <c r="F69" s="3"/>
      <c r="G69" s="3"/>
      <c r="H69" s="3"/>
      <c r="I69" s="3"/>
      <c r="J69" s="3"/>
      <c r="K69" s="3"/>
      <c r="L69" s="3"/>
      <c r="M69" s="2"/>
      <c r="N69" s="2"/>
      <c r="O69" s="2"/>
      <c r="P69" s="2"/>
      <c r="Q69" s="2"/>
      <c r="R69" s="2"/>
      <c r="S69" s="2"/>
      <c r="T69" s="1"/>
      <c r="U69" s="4"/>
    </row>
    <row r="70" spans="1:21" ht="17.25" thickBot="1" x14ac:dyDescent="0.35">
      <c r="A70" s="15" t="s">
        <v>319</v>
      </c>
      <c r="B70" t="str">
        <f>IF(C70="", "", _xlfn.XLOOKUP(C70, 카테고리!A:A, 카테고리!B:B))</f>
        <v>GAME</v>
      </c>
      <c r="C70" s="12" t="s">
        <v>138</v>
      </c>
      <c r="D70" s="7" t="s">
        <v>118</v>
      </c>
      <c r="E70" s="13" t="s">
        <v>385</v>
      </c>
      <c r="F70" s="3"/>
      <c r="G70" s="3"/>
      <c r="H70" s="3"/>
      <c r="I70" s="3"/>
      <c r="J70" s="3"/>
      <c r="K70" s="3"/>
      <c r="L70" s="3"/>
      <c r="M70" s="2"/>
      <c r="N70" s="2"/>
      <c r="O70" s="2"/>
      <c r="P70" s="2"/>
      <c r="Q70" s="2"/>
      <c r="R70" s="2"/>
      <c r="S70" s="2"/>
      <c r="T70" s="1"/>
      <c r="U70" s="4"/>
    </row>
    <row r="71" spans="1:21" ht="17.25" thickBot="1" x14ac:dyDescent="0.35">
      <c r="A71" s="15" t="s">
        <v>319</v>
      </c>
      <c r="B71" t="str">
        <f>IF(C71="", "", _xlfn.XLOOKUP(C71, 카테고리!A:A, 카테고리!B:B))</f>
        <v>GAME</v>
      </c>
      <c r="C71" s="12" t="s">
        <v>130</v>
      </c>
      <c r="D71" s="7" t="s">
        <v>119</v>
      </c>
      <c r="E71" s="13" t="s">
        <v>185</v>
      </c>
      <c r="F71" s="3"/>
      <c r="G71" s="3"/>
      <c r="H71" s="3"/>
      <c r="I71" s="3"/>
      <c r="J71" s="3"/>
      <c r="K71" s="3"/>
      <c r="L71" s="3"/>
      <c r="M71" s="2"/>
      <c r="N71" s="2"/>
      <c r="O71" s="2"/>
      <c r="P71" s="2"/>
      <c r="Q71" s="2"/>
      <c r="R71" s="2"/>
      <c r="S71" s="2"/>
      <c r="T71" s="1"/>
      <c r="U71" s="4"/>
    </row>
    <row r="72" spans="1:21" ht="17.25" thickBot="1" x14ac:dyDescent="0.35">
      <c r="A72" s="15" t="s">
        <v>319</v>
      </c>
      <c r="B72" t="str">
        <f>IF(C72="", "", _xlfn.XLOOKUP(C72, 카테고리!A:A, 카테고리!B:B))</f>
        <v>VOCALOID</v>
      </c>
      <c r="C72" s="12" t="s">
        <v>136</v>
      </c>
      <c r="D72" s="7" t="s">
        <v>120</v>
      </c>
      <c r="E72" s="13" t="s">
        <v>187</v>
      </c>
      <c r="F72" s="3"/>
      <c r="G72" s="3"/>
      <c r="H72" s="3"/>
      <c r="I72" s="3"/>
      <c r="J72" s="3"/>
      <c r="K72" s="3"/>
      <c r="L72" s="3"/>
      <c r="M72" s="2"/>
      <c r="N72" s="2"/>
      <c r="O72" s="2"/>
      <c r="P72" s="2"/>
      <c r="Q72" s="2"/>
      <c r="R72" s="2"/>
      <c r="S72" s="2"/>
      <c r="T72" s="1"/>
      <c r="U72" s="4"/>
    </row>
    <row r="73" spans="1:21" ht="17.25" thickBot="1" x14ac:dyDescent="0.35">
      <c r="A73" s="15" t="s">
        <v>319</v>
      </c>
      <c r="B73" t="str">
        <f>IF(C73="", "", _xlfn.XLOOKUP(C73, 카테고리!A:A, 카테고리!B:B))</f>
        <v>GAME</v>
      </c>
      <c r="C73" s="12" t="s">
        <v>189</v>
      </c>
      <c r="D73" s="7" t="s">
        <v>121</v>
      </c>
      <c r="E73" s="13" t="s">
        <v>136</v>
      </c>
      <c r="F73" s="3"/>
      <c r="G73" s="3"/>
      <c r="H73" s="3"/>
      <c r="I73" s="3"/>
      <c r="J73" s="3"/>
      <c r="K73" s="3"/>
      <c r="L73" s="3"/>
      <c r="M73" s="2"/>
      <c r="N73" s="2"/>
      <c r="O73" s="2"/>
      <c r="P73" s="2"/>
      <c r="Q73" s="2"/>
      <c r="R73" s="2"/>
      <c r="S73" s="2"/>
      <c r="T73" s="1"/>
      <c r="U73" s="4"/>
    </row>
    <row r="74" spans="1:21" ht="17.25" thickBot="1" x14ac:dyDescent="0.35">
      <c r="A74" s="15" t="s">
        <v>319</v>
      </c>
      <c r="B74" t="str">
        <f>IF(C74="", "", _xlfn.XLOOKUP(C74, 카테고리!A:A, 카테고리!B:B))</f>
        <v>GAME</v>
      </c>
      <c r="C74" s="12" t="s">
        <v>191</v>
      </c>
      <c r="D74" s="7" t="s">
        <v>122</v>
      </c>
      <c r="E74" s="13" t="s">
        <v>193</v>
      </c>
      <c r="F74" s="3"/>
      <c r="G74" s="3"/>
      <c r="H74" s="3"/>
      <c r="I74" s="3"/>
      <c r="J74" s="3"/>
      <c r="K74" s="3"/>
      <c r="L74" s="3"/>
      <c r="M74" s="2"/>
      <c r="N74" s="2"/>
      <c r="O74" s="2"/>
      <c r="P74" s="2"/>
      <c r="Q74" s="2"/>
      <c r="R74" s="2"/>
      <c r="S74" s="2"/>
      <c r="T74" s="1"/>
      <c r="U74" s="4"/>
    </row>
    <row r="75" spans="1:21" ht="17.25" thickBot="1" x14ac:dyDescent="0.35">
      <c r="A75" s="15" t="s">
        <v>319</v>
      </c>
      <c r="B75" t="str">
        <f>IF(C75="", "", _xlfn.XLOOKUP(C75, 카테고리!A:A, 카테고리!B:B))</f>
        <v>GAME</v>
      </c>
      <c r="C75" s="12" t="s">
        <v>168</v>
      </c>
      <c r="D75" s="7" t="s">
        <v>123</v>
      </c>
      <c r="E75" s="13" t="s">
        <v>285</v>
      </c>
      <c r="F75" s="3"/>
      <c r="G75" s="3"/>
      <c r="H75" s="3"/>
      <c r="I75" s="3"/>
      <c r="J75" s="3"/>
      <c r="K75" s="3"/>
      <c r="L75" s="3"/>
      <c r="M75" s="2"/>
      <c r="N75" s="2"/>
      <c r="O75" s="2"/>
      <c r="P75" s="2"/>
      <c r="Q75" s="2"/>
      <c r="R75" s="2"/>
      <c r="S75" s="2"/>
      <c r="T75" s="1"/>
      <c r="U75" s="4"/>
    </row>
    <row r="76" spans="1:21" ht="17.25" thickBot="1" x14ac:dyDescent="0.35">
      <c r="A76" s="15" t="s">
        <v>319</v>
      </c>
      <c r="B76" t="str">
        <f>IF(C76="", "", _xlfn.XLOOKUP(C76, 카테고리!A:A, 카테고리!B:B))</f>
        <v>GAME</v>
      </c>
      <c r="C76" s="12" t="s">
        <v>128</v>
      </c>
      <c r="D76" s="7" t="s">
        <v>124</v>
      </c>
      <c r="E76" s="13" t="s">
        <v>195</v>
      </c>
      <c r="F76" s="3"/>
      <c r="G76" s="3"/>
      <c r="H76" s="3"/>
      <c r="I76" s="3"/>
      <c r="J76" s="3"/>
      <c r="K76" s="3"/>
      <c r="L76" s="3"/>
      <c r="M76" s="2"/>
      <c r="N76" s="2"/>
      <c r="O76" s="2"/>
      <c r="P76" s="2"/>
      <c r="Q76" s="2"/>
      <c r="R76" s="2"/>
      <c r="S76" s="2"/>
      <c r="T76" s="1"/>
      <c r="U76" s="4"/>
    </row>
    <row r="77" spans="1:21" ht="19.5" thickBot="1" x14ac:dyDescent="0.35">
      <c r="A77" s="15" t="s">
        <v>319</v>
      </c>
      <c r="B77" t="str">
        <f>IF(C77="", "", _xlfn.XLOOKUP(C77, 카테고리!A:A, 카테고리!B:B))</f>
        <v>GAME</v>
      </c>
      <c r="C77" s="12" t="s">
        <v>138</v>
      </c>
      <c r="D77" s="7" t="s">
        <v>125</v>
      </c>
      <c r="E77" s="14" t="s">
        <v>196</v>
      </c>
      <c r="F77" s="3"/>
      <c r="G77" s="3"/>
      <c r="H77" s="3"/>
      <c r="I77" s="3"/>
      <c r="J77" s="3"/>
      <c r="K77" s="3"/>
      <c r="L77" s="3"/>
      <c r="M77" s="2"/>
      <c r="N77" s="2"/>
      <c r="O77" s="2"/>
      <c r="P77" s="2"/>
      <c r="Q77" s="2"/>
      <c r="R77" s="2"/>
      <c r="S77" s="2"/>
      <c r="T77" s="1"/>
      <c r="U77" s="4"/>
    </row>
    <row r="78" spans="1:21" ht="17.25" thickBot="1" x14ac:dyDescent="0.35">
      <c r="A78" s="15" t="s">
        <v>319</v>
      </c>
      <c r="B78" t="str">
        <f>IF(C78="", "", _xlfn.XLOOKUP(C78, 카테고리!A:A, 카테고리!B:B))</f>
        <v>GAME</v>
      </c>
      <c r="C78" s="12" t="s">
        <v>293</v>
      </c>
      <c r="D78" s="7" t="s">
        <v>126</v>
      </c>
      <c r="E78" s="13" t="s">
        <v>197</v>
      </c>
      <c r="F78" s="3"/>
      <c r="G78" s="3"/>
      <c r="H78" s="3"/>
      <c r="I78" s="3"/>
      <c r="J78" s="3"/>
      <c r="K78" s="3"/>
      <c r="L78" s="3"/>
      <c r="M78" s="2"/>
      <c r="N78" s="2"/>
      <c r="O78" s="2"/>
      <c r="P78" s="2"/>
      <c r="Q78" s="2"/>
      <c r="R78" s="2"/>
      <c r="S78" s="2"/>
      <c r="T78" s="1"/>
      <c r="U78" s="4"/>
    </row>
    <row r="79" spans="1:21" ht="17.25" thickBot="1" x14ac:dyDescent="0.35">
      <c r="A79" s="15" t="s">
        <v>319</v>
      </c>
      <c r="B79" t="str">
        <f>IF(C79="", "", _xlfn.XLOOKUP(C79, 카테고리!A:A, 카테고리!B:B))</f>
        <v>GAME</v>
      </c>
      <c r="C79" s="12" t="s">
        <v>191</v>
      </c>
      <c r="D79" s="7" t="s">
        <v>127</v>
      </c>
      <c r="E79" s="19" t="s">
        <v>256</v>
      </c>
      <c r="F79" s="8"/>
      <c r="G79" s="8"/>
      <c r="H79" s="8"/>
      <c r="I79" s="8"/>
      <c r="J79" s="8"/>
      <c r="K79" s="8"/>
      <c r="L79" s="8"/>
      <c r="M79" s="9"/>
      <c r="N79" s="9"/>
      <c r="O79" s="9"/>
      <c r="P79" s="9"/>
      <c r="Q79" s="9"/>
      <c r="R79" s="9"/>
      <c r="S79" s="9"/>
      <c r="T79" s="10"/>
      <c r="U79" s="11"/>
    </row>
    <row r="80" spans="1:21" ht="17.25" thickBot="1" x14ac:dyDescent="0.35">
      <c r="A80" s="15" t="s">
        <v>319</v>
      </c>
      <c r="B80" t="str">
        <f>IF(C80="", "", _xlfn.XLOOKUP(C80, 카테고리!A:A, 카테고리!B:B))</f>
        <v>GAME</v>
      </c>
      <c r="C80" s="17" t="s">
        <v>128</v>
      </c>
      <c r="D80" s="16" t="s">
        <v>198</v>
      </c>
      <c r="E80" s="17" t="s">
        <v>257</v>
      </c>
      <c r="F80" s="3"/>
      <c r="G80" s="3"/>
      <c r="H80" s="3"/>
      <c r="I80" s="3"/>
      <c r="J80" s="3"/>
      <c r="K80" s="3"/>
      <c r="L80" s="3"/>
      <c r="M80" s="2"/>
      <c r="N80" s="2"/>
      <c r="O80" s="2"/>
      <c r="P80" s="2"/>
      <c r="Q80" s="2"/>
      <c r="R80" s="2"/>
      <c r="S80" s="2"/>
      <c r="T80" s="1"/>
      <c r="U80" s="4"/>
    </row>
    <row r="81" spans="1:21" ht="17.25" thickBot="1" x14ac:dyDescent="0.35">
      <c r="A81" s="15" t="s">
        <v>319</v>
      </c>
      <c r="B81" t="str">
        <f>IF(C81="", "", _xlfn.XLOOKUP(C81, 카테고리!A:A, 카테고리!B:B))</f>
        <v>Anime</v>
      </c>
      <c r="C81" s="17" t="s">
        <v>144</v>
      </c>
      <c r="D81" s="16" t="s">
        <v>199</v>
      </c>
      <c r="E81" s="17" t="s">
        <v>147</v>
      </c>
      <c r="F81" s="3"/>
      <c r="G81" s="3"/>
      <c r="H81" s="3"/>
      <c r="I81" s="3"/>
      <c r="J81" s="3"/>
      <c r="K81" s="3"/>
      <c r="L81" s="3"/>
      <c r="M81" s="2"/>
      <c r="N81" s="2"/>
      <c r="O81" s="2"/>
      <c r="P81" s="2"/>
      <c r="Q81" s="2"/>
      <c r="R81" s="2"/>
      <c r="S81" s="2"/>
      <c r="T81" s="1"/>
      <c r="U81" s="4"/>
    </row>
    <row r="82" spans="1:21" ht="17.25" thickBot="1" x14ac:dyDescent="0.35">
      <c r="A82" s="15" t="s">
        <v>319</v>
      </c>
      <c r="B82" t="str">
        <f>IF(C82="", "", _xlfn.XLOOKUP(C82, 카테고리!A:A, 카테고리!B:B))</f>
        <v>Anime</v>
      </c>
      <c r="C82" s="17" t="s">
        <v>144</v>
      </c>
      <c r="D82" s="16" t="s">
        <v>200</v>
      </c>
      <c r="E82" s="17" t="s">
        <v>161</v>
      </c>
      <c r="F82" s="3"/>
      <c r="G82" s="3"/>
      <c r="H82" s="3"/>
      <c r="I82" s="3"/>
      <c r="J82" s="3"/>
      <c r="K82" s="3"/>
      <c r="L82" s="3"/>
      <c r="M82" s="2"/>
      <c r="N82" s="2"/>
      <c r="O82" s="2"/>
      <c r="P82" s="2"/>
      <c r="Q82" s="2"/>
      <c r="R82" s="2"/>
      <c r="S82" s="2"/>
      <c r="T82" s="1"/>
      <c r="U82" s="4"/>
    </row>
    <row r="83" spans="1:21" ht="17.25" thickBot="1" x14ac:dyDescent="0.35">
      <c r="A83" s="15" t="s">
        <v>319</v>
      </c>
      <c r="B83" t="str">
        <f>IF(C83="", "", _xlfn.XLOOKUP(C83, 카테고리!A:A, 카테고리!B:B))</f>
        <v>Anime</v>
      </c>
      <c r="C83" s="17" t="s">
        <v>144</v>
      </c>
      <c r="D83" s="18" t="s">
        <v>258</v>
      </c>
      <c r="E83" s="17" t="s">
        <v>161</v>
      </c>
      <c r="F83" s="3"/>
      <c r="G83" s="3"/>
      <c r="H83" s="3"/>
      <c r="I83" s="3"/>
      <c r="J83" s="3"/>
      <c r="K83" s="3"/>
      <c r="L83" s="3"/>
      <c r="M83" s="2"/>
      <c r="N83" s="2"/>
      <c r="O83" s="2"/>
      <c r="P83" s="2"/>
      <c r="Q83" s="2"/>
      <c r="R83" s="2"/>
      <c r="S83" s="2"/>
      <c r="T83" s="1"/>
      <c r="U83" s="4"/>
    </row>
    <row r="84" spans="1:21" ht="17.25" thickBot="1" x14ac:dyDescent="0.35">
      <c r="A84" s="15" t="s">
        <v>319</v>
      </c>
      <c r="B84" t="str">
        <f>IF(C84="", "", _xlfn.XLOOKUP(C84, 카테고리!A:A, 카테고리!B:B))</f>
        <v>J-pop</v>
      </c>
      <c r="C84" s="17" t="s">
        <v>261</v>
      </c>
      <c r="D84" s="16" t="s">
        <v>201</v>
      </c>
      <c r="E84" s="17" t="s">
        <v>261</v>
      </c>
      <c r="F84" s="3"/>
      <c r="G84" s="3"/>
      <c r="H84" s="3"/>
      <c r="I84" s="3"/>
      <c r="J84" s="3"/>
      <c r="K84" s="3"/>
      <c r="L84" s="3"/>
      <c r="M84" s="2"/>
      <c r="N84" s="2"/>
      <c r="O84" s="2"/>
      <c r="P84" s="2"/>
      <c r="Q84" s="2"/>
      <c r="R84" s="2"/>
      <c r="S84" s="2"/>
      <c r="T84" s="1"/>
      <c r="U84" s="4"/>
    </row>
    <row r="85" spans="1:21" ht="17.25" thickBot="1" x14ac:dyDescent="0.35">
      <c r="A85" s="15" t="s">
        <v>319</v>
      </c>
      <c r="B85" t="str">
        <f>IF(C85="", "", _xlfn.XLOOKUP(C85, 카테고리!A:A, 카테고리!B:B))</f>
        <v>J-pop</v>
      </c>
      <c r="C85" s="17" t="s">
        <v>261</v>
      </c>
      <c r="D85" s="16" t="s">
        <v>202</v>
      </c>
      <c r="E85" s="17" t="s">
        <v>261</v>
      </c>
      <c r="F85" s="3"/>
      <c r="G85" s="3"/>
      <c r="H85" s="3"/>
      <c r="I85" s="3"/>
      <c r="J85" s="3"/>
      <c r="K85" s="3"/>
      <c r="L85" s="3"/>
      <c r="M85" s="2"/>
      <c r="N85" s="2"/>
      <c r="O85" s="2"/>
      <c r="P85" s="2"/>
      <c r="Q85" s="2"/>
      <c r="R85" s="2"/>
      <c r="S85" s="2"/>
      <c r="T85" s="1"/>
      <c r="U85" s="4"/>
    </row>
    <row r="86" spans="1:21" ht="17.25" thickBot="1" x14ac:dyDescent="0.35">
      <c r="A86" s="15" t="s">
        <v>319</v>
      </c>
      <c r="B86" t="str">
        <f>IF(C86="", "", _xlfn.XLOOKUP(C86, 카테고리!A:A, 카테고리!B:B))</f>
        <v>GAME</v>
      </c>
      <c r="C86" s="17" t="s">
        <v>158</v>
      </c>
      <c r="D86" s="16" t="s">
        <v>203</v>
      </c>
      <c r="E86" s="17" t="s">
        <v>129</v>
      </c>
      <c r="F86" s="3"/>
      <c r="G86" s="3"/>
      <c r="H86" s="3"/>
      <c r="I86" s="3"/>
      <c r="J86" s="3"/>
      <c r="K86" s="3"/>
      <c r="L86" s="3"/>
      <c r="M86" s="2"/>
      <c r="N86" s="2"/>
      <c r="O86" s="2"/>
      <c r="P86" s="2"/>
      <c r="Q86" s="2"/>
      <c r="R86" s="2"/>
      <c r="S86" s="2"/>
      <c r="T86" s="1"/>
      <c r="U86" s="4"/>
    </row>
    <row r="87" spans="1:21" ht="17.25" thickBot="1" x14ac:dyDescent="0.35">
      <c r="A87" s="15" t="s">
        <v>319</v>
      </c>
      <c r="B87" t="str">
        <f>IF(C87="", "", _xlfn.XLOOKUP(C87, 카테고리!A:A, 카테고리!B:B))</f>
        <v>VOCALOID</v>
      </c>
      <c r="C87" s="17" t="s">
        <v>264</v>
      </c>
      <c r="D87" s="18" t="s">
        <v>266</v>
      </c>
      <c r="E87" s="17" t="s">
        <v>265</v>
      </c>
      <c r="F87" s="3"/>
      <c r="G87" s="3"/>
      <c r="H87" s="3"/>
      <c r="I87" s="3"/>
      <c r="J87" s="3"/>
      <c r="K87" s="3"/>
      <c r="L87" s="3"/>
      <c r="M87" s="2"/>
      <c r="N87" s="2"/>
      <c r="O87" s="2"/>
      <c r="P87" s="2"/>
      <c r="Q87" s="2"/>
      <c r="R87" s="2"/>
      <c r="S87" s="2"/>
      <c r="T87" s="1"/>
      <c r="U87" s="4"/>
    </row>
    <row r="88" spans="1:21" ht="17.25" thickBot="1" x14ac:dyDescent="0.35">
      <c r="A88" s="15" t="s">
        <v>319</v>
      </c>
      <c r="B88" t="str">
        <f>IF(C88="", "", _xlfn.XLOOKUP(C88, 카테고리!A:A, 카테고리!B:B))</f>
        <v>GAME</v>
      </c>
      <c r="C88" s="17" t="s">
        <v>269</v>
      </c>
      <c r="D88" s="16" t="s">
        <v>204</v>
      </c>
      <c r="E88" s="17" t="s">
        <v>267</v>
      </c>
      <c r="F88" s="3"/>
      <c r="G88" s="3"/>
      <c r="H88" s="3"/>
      <c r="I88" s="3"/>
      <c r="J88" s="3"/>
      <c r="K88" s="3"/>
      <c r="L88" s="3"/>
      <c r="M88" s="2"/>
      <c r="N88" s="2"/>
      <c r="O88" s="2"/>
      <c r="P88" s="2"/>
      <c r="Q88" s="2"/>
      <c r="R88" s="2"/>
      <c r="S88" s="2"/>
      <c r="T88" s="1"/>
      <c r="U88" s="4"/>
    </row>
    <row r="89" spans="1:21" ht="17.25" thickBot="1" x14ac:dyDescent="0.35">
      <c r="A89" s="15" t="s">
        <v>319</v>
      </c>
      <c r="B89" t="str">
        <f>IF(C89="", "", _xlfn.XLOOKUP(C89, 카테고리!A:A, 카테고리!B:B))</f>
        <v>GAME</v>
      </c>
      <c r="C89" s="17" t="s">
        <v>269</v>
      </c>
      <c r="D89" s="16" t="s">
        <v>205</v>
      </c>
      <c r="E89" s="17" t="s">
        <v>267</v>
      </c>
      <c r="F89" s="3"/>
      <c r="G89" s="3"/>
      <c r="H89" s="3"/>
      <c r="I89" s="3"/>
      <c r="J89" s="3"/>
      <c r="K89" s="3"/>
      <c r="L89" s="3"/>
      <c r="M89" s="2"/>
      <c r="N89" s="2"/>
      <c r="O89" s="2"/>
      <c r="P89" s="2"/>
      <c r="Q89" s="2"/>
      <c r="R89" s="2"/>
      <c r="S89" s="2"/>
      <c r="T89" s="1"/>
      <c r="U89" s="4"/>
    </row>
    <row r="90" spans="1:21" ht="17.25" thickBot="1" x14ac:dyDescent="0.35">
      <c r="A90" s="15" t="s">
        <v>319</v>
      </c>
      <c r="B90" t="str">
        <f>IF(C90="", "", _xlfn.XLOOKUP(C90, 카테고리!A:A, 카테고리!B:B))</f>
        <v>GAME</v>
      </c>
      <c r="C90" s="17" t="s">
        <v>269</v>
      </c>
      <c r="D90" s="18" t="s">
        <v>268</v>
      </c>
      <c r="E90" s="17" t="s">
        <v>155</v>
      </c>
      <c r="F90" s="3"/>
      <c r="G90" s="3"/>
      <c r="H90" s="3"/>
      <c r="I90" s="3"/>
      <c r="J90" s="3"/>
      <c r="K90" s="3"/>
      <c r="L90" s="3"/>
      <c r="M90" s="2"/>
      <c r="N90" s="2"/>
      <c r="O90" s="2"/>
      <c r="P90" s="2"/>
      <c r="Q90" s="2"/>
      <c r="R90" s="2"/>
      <c r="S90" s="2"/>
      <c r="T90" s="1"/>
      <c r="U90" s="4"/>
    </row>
    <row r="91" spans="1:21" ht="17.25" thickBot="1" x14ac:dyDescent="0.35">
      <c r="A91" s="15" t="s">
        <v>319</v>
      </c>
      <c r="B91" t="str">
        <f>IF(C91="", "", _xlfn.XLOOKUP(C91, 카테고리!A:A, 카테고리!B:B))</f>
        <v>VOCALOID</v>
      </c>
      <c r="C91" s="17" t="s">
        <v>264</v>
      </c>
      <c r="D91" s="16" t="s">
        <v>206</v>
      </c>
      <c r="E91" s="17" t="s">
        <v>270</v>
      </c>
      <c r="F91" s="3"/>
      <c r="G91" s="3"/>
      <c r="H91" s="3"/>
      <c r="I91" s="3"/>
      <c r="J91" s="3"/>
      <c r="K91" s="3"/>
      <c r="L91" s="3"/>
      <c r="M91" s="2"/>
      <c r="N91" s="2"/>
      <c r="O91" s="2"/>
      <c r="P91" s="2"/>
      <c r="Q91" s="2"/>
      <c r="R91" s="2"/>
      <c r="S91" s="2"/>
      <c r="T91" s="1"/>
      <c r="U91" s="4"/>
    </row>
    <row r="92" spans="1:21" ht="17.25" thickBot="1" x14ac:dyDescent="0.35">
      <c r="A92" s="15" t="s">
        <v>319</v>
      </c>
      <c r="B92" t="str">
        <f>IF(C92="", "", _xlfn.XLOOKUP(C92, 카테고리!A:A, 카테고리!B:B))</f>
        <v>GAME</v>
      </c>
      <c r="C92" s="17" t="s">
        <v>168</v>
      </c>
      <c r="D92" s="16" t="s">
        <v>207</v>
      </c>
      <c r="E92" s="17" t="s">
        <v>286</v>
      </c>
      <c r="F92" s="3"/>
      <c r="G92" s="3"/>
      <c r="H92" s="3"/>
      <c r="I92" s="3"/>
      <c r="J92" s="3"/>
      <c r="K92" s="3"/>
      <c r="L92" s="3"/>
      <c r="M92" s="2"/>
      <c r="N92" s="2"/>
      <c r="O92" s="2"/>
      <c r="P92" s="2"/>
      <c r="Q92" s="2"/>
      <c r="R92" s="2"/>
      <c r="S92" s="2"/>
      <c r="T92" s="1"/>
      <c r="U92" s="4"/>
    </row>
    <row r="93" spans="1:21" ht="17.25" thickBot="1" x14ac:dyDescent="0.35">
      <c r="A93" s="15" t="s">
        <v>319</v>
      </c>
      <c r="B93" t="str">
        <f>IF(C93="", "", _xlfn.XLOOKUP(C93, 카테고리!A:A, 카테고리!B:B))</f>
        <v>GAME</v>
      </c>
      <c r="C93" s="17" t="s">
        <v>168</v>
      </c>
      <c r="D93" s="16" t="s">
        <v>208</v>
      </c>
      <c r="E93" s="17" t="s">
        <v>150</v>
      </c>
      <c r="F93" s="3"/>
      <c r="G93" s="3"/>
      <c r="H93" s="3"/>
      <c r="I93" s="3"/>
      <c r="J93" s="3"/>
      <c r="K93" s="3"/>
      <c r="L93" s="3"/>
      <c r="M93" s="2"/>
      <c r="N93" s="2"/>
      <c r="O93" s="2"/>
      <c r="P93" s="2"/>
      <c r="Q93" s="2"/>
      <c r="R93" s="2"/>
      <c r="S93" s="2"/>
      <c r="T93" s="1"/>
      <c r="U93" s="4"/>
    </row>
    <row r="94" spans="1:21" ht="17.25" thickBot="1" x14ac:dyDescent="0.35">
      <c r="A94" s="15" t="s">
        <v>319</v>
      </c>
      <c r="B94" t="str">
        <f>IF(C94="", "", _xlfn.XLOOKUP(C94, 카테고리!A:A, 카테고리!B:B))</f>
        <v>GAME</v>
      </c>
      <c r="C94" s="17" t="s">
        <v>269</v>
      </c>
      <c r="D94" s="16" t="s">
        <v>209</v>
      </c>
      <c r="E94" s="17" t="s">
        <v>267</v>
      </c>
      <c r="F94" s="3"/>
      <c r="G94" s="3"/>
      <c r="H94" s="3"/>
      <c r="I94" s="3"/>
      <c r="J94" s="3"/>
      <c r="K94" s="3"/>
      <c r="L94" s="3"/>
      <c r="M94" s="2"/>
      <c r="N94" s="2"/>
      <c r="O94" s="2"/>
      <c r="P94" s="2"/>
      <c r="Q94" s="2"/>
      <c r="R94" s="2"/>
      <c r="S94" s="2"/>
      <c r="T94" s="1"/>
      <c r="U94" s="4"/>
    </row>
    <row r="95" spans="1:21" ht="17.25" thickBot="1" x14ac:dyDescent="0.35">
      <c r="A95" s="15" t="s">
        <v>319</v>
      </c>
      <c r="B95" t="str">
        <f>IF(C95="", "", _xlfn.XLOOKUP(C95, 카테고리!A:A, 카테고리!B:B))</f>
        <v>K-pop</v>
      </c>
      <c r="C95" s="17" t="s">
        <v>272</v>
      </c>
      <c r="D95" s="16" t="s">
        <v>210</v>
      </c>
      <c r="E95" s="17" t="s">
        <v>272</v>
      </c>
      <c r="F95" s="3"/>
      <c r="G95" s="3"/>
      <c r="H95" s="3"/>
      <c r="I95" s="3"/>
      <c r="J95" s="3"/>
      <c r="K95" s="3"/>
      <c r="L95" s="3"/>
      <c r="M95" s="2"/>
      <c r="N95" s="2"/>
      <c r="O95" s="2"/>
      <c r="P95" s="2"/>
      <c r="Q95" s="2"/>
      <c r="R95" s="2"/>
      <c r="S95" s="2"/>
      <c r="T95" s="1"/>
      <c r="U95" s="4"/>
    </row>
    <row r="96" spans="1:21" ht="17.25" thickBot="1" x14ac:dyDescent="0.35">
      <c r="A96" s="15" t="s">
        <v>319</v>
      </c>
      <c r="B96" t="str">
        <f>IF(C96="", "", _xlfn.XLOOKUP(C96, 카테고리!A:A, 카테고리!B:B))</f>
        <v>K-pop</v>
      </c>
      <c r="C96" s="17" t="s">
        <v>274</v>
      </c>
      <c r="D96" s="16" t="s">
        <v>211</v>
      </c>
      <c r="E96" s="17" t="s">
        <v>274</v>
      </c>
      <c r="F96" s="3"/>
      <c r="G96" s="3"/>
      <c r="H96" s="3"/>
      <c r="I96" s="3"/>
      <c r="J96" s="3"/>
      <c r="K96" s="3"/>
      <c r="L96" s="3"/>
      <c r="M96" s="2"/>
      <c r="N96" s="2"/>
      <c r="O96" s="2"/>
      <c r="P96" s="2"/>
      <c r="Q96" s="2"/>
      <c r="R96" s="2"/>
      <c r="S96" s="2"/>
      <c r="T96" s="1"/>
      <c r="U96" s="4"/>
    </row>
    <row r="97" spans="1:21" ht="17.25" thickBot="1" x14ac:dyDescent="0.35">
      <c r="A97" s="15" t="s">
        <v>319</v>
      </c>
      <c r="B97" t="str">
        <f>IF(C97="", "", _xlfn.XLOOKUP(C97, 카테고리!A:A, 카테고리!B:B))</f>
        <v>K-pop</v>
      </c>
      <c r="C97" s="17" t="s">
        <v>276</v>
      </c>
      <c r="D97" s="16" t="s">
        <v>212</v>
      </c>
      <c r="E97" s="17" t="s">
        <v>276</v>
      </c>
      <c r="F97" s="3"/>
      <c r="G97" s="3"/>
      <c r="H97" s="3"/>
      <c r="I97" s="3"/>
      <c r="J97" s="3"/>
      <c r="K97" s="3"/>
      <c r="L97" s="3"/>
      <c r="M97" s="2"/>
      <c r="N97" s="2"/>
      <c r="O97" s="2"/>
      <c r="P97" s="2"/>
      <c r="Q97" s="2"/>
      <c r="R97" s="2"/>
      <c r="S97" s="2"/>
      <c r="T97" s="1"/>
      <c r="U97" s="4"/>
    </row>
    <row r="98" spans="1:21" ht="17.25" thickBot="1" x14ac:dyDescent="0.35">
      <c r="A98" s="15" t="s">
        <v>319</v>
      </c>
      <c r="B98" t="str">
        <f>IF(C98="", "", _xlfn.XLOOKUP(C98, 카테고리!A:A, 카테고리!B:B))</f>
        <v>GAME</v>
      </c>
      <c r="C98" s="17" t="s">
        <v>269</v>
      </c>
      <c r="D98" s="16" t="s">
        <v>213</v>
      </c>
      <c r="E98" s="17" t="s">
        <v>267</v>
      </c>
      <c r="F98" s="3"/>
      <c r="G98" s="3"/>
      <c r="H98" s="3"/>
      <c r="I98" s="3"/>
      <c r="J98" s="3"/>
      <c r="K98" s="3"/>
      <c r="L98" s="3"/>
      <c r="M98" s="2"/>
      <c r="N98" s="2"/>
      <c r="O98" s="2"/>
      <c r="P98" s="2"/>
      <c r="Q98" s="2"/>
      <c r="R98" s="2"/>
      <c r="S98" s="2"/>
      <c r="T98" s="1"/>
      <c r="U98" s="4"/>
    </row>
    <row r="99" spans="1:21" ht="17.25" thickBot="1" x14ac:dyDescent="0.35">
      <c r="A99" s="15" t="s">
        <v>319</v>
      </c>
      <c r="B99" t="str">
        <f>IF(C99="", "", _xlfn.XLOOKUP(C99, 카테고리!A:A, 카테고리!B:B))</f>
        <v>GAME</v>
      </c>
      <c r="C99" s="17" t="s">
        <v>278</v>
      </c>
      <c r="D99" s="16" t="s">
        <v>214</v>
      </c>
      <c r="E99" s="17" t="s">
        <v>279</v>
      </c>
      <c r="F99" s="3"/>
      <c r="G99" s="3"/>
      <c r="H99" s="3"/>
      <c r="I99" s="3"/>
      <c r="J99" s="3"/>
      <c r="K99" s="3"/>
      <c r="L99" s="3"/>
      <c r="M99" s="2"/>
      <c r="N99" s="2"/>
      <c r="O99" s="2"/>
      <c r="P99" s="2"/>
      <c r="Q99" s="2"/>
      <c r="R99" s="2"/>
      <c r="S99" s="2"/>
      <c r="T99" s="1"/>
      <c r="U99" s="4"/>
    </row>
    <row r="100" spans="1:21" ht="17.25" thickBot="1" x14ac:dyDescent="0.35">
      <c r="A100" s="15" t="s">
        <v>319</v>
      </c>
      <c r="B100" t="str">
        <f>IF(C100="", "", _xlfn.XLOOKUP(C100, 카테고리!A:A, 카테고리!B:B))</f>
        <v>GAME</v>
      </c>
      <c r="C100" s="17" t="s">
        <v>130</v>
      </c>
      <c r="D100" s="16" t="s">
        <v>215</v>
      </c>
      <c r="E100" s="17" t="s">
        <v>281</v>
      </c>
      <c r="F100" s="3"/>
      <c r="G100" s="3"/>
      <c r="H100" s="3"/>
      <c r="I100" s="3"/>
      <c r="J100" s="3"/>
      <c r="K100" s="3"/>
      <c r="L100" s="3"/>
      <c r="M100" s="2"/>
      <c r="N100" s="2"/>
      <c r="O100" s="2"/>
      <c r="P100" s="2"/>
      <c r="Q100" s="2"/>
      <c r="R100" s="2"/>
      <c r="S100" s="2"/>
      <c r="T100" s="1"/>
      <c r="U100" s="4"/>
    </row>
    <row r="101" spans="1:21" ht="17.25" thickBot="1" x14ac:dyDescent="0.35">
      <c r="A101" s="15" t="s">
        <v>319</v>
      </c>
      <c r="B101" t="str">
        <f>IF(C101="", "", _xlfn.XLOOKUP(C101, 카테고리!A:A, 카테고리!B:B))</f>
        <v>ORIGINAL</v>
      </c>
      <c r="C101" s="17" t="s">
        <v>164</v>
      </c>
      <c r="D101" s="16" t="s">
        <v>216</v>
      </c>
      <c r="E101" s="17" t="s">
        <v>284</v>
      </c>
      <c r="F101" s="3"/>
      <c r="G101" s="3"/>
      <c r="H101" s="3"/>
      <c r="I101" s="3"/>
      <c r="J101" s="3"/>
      <c r="K101" s="3"/>
      <c r="L101" s="3"/>
      <c r="M101" s="2"/>
      <c r="N101" s="2"/>
      <c r="O101" s="2"/>
      <c r="P101" s="2"/>
      <c r="Q101" s="2"/>
      <c r="R101" s="2"/>
      <c r="S101" s="2"/>
      <c r="T101" s="1"/>
      <c r="U101" s="4"/>
    </row>
    <row r="102" spans="1:21" ht="17.25" thickBot="1" x14ac:dyDescent="0.35">
      <c r="A102" s="15" t="s">
        <v>319</v>
      </c>
      <c r="B102" t="str">
        <f>IF(C102="", "", _xlfn.XLOOKUP(C102, 카테고리!A:A, 카테고리!B:B))</f>
        <v>J-pop</v>
      </c>
      <c r="C102" s="17" t="s">
        <v>261</v>
      </c>
      <c r="D102" s="16" t="s">
        <v>217</v>
      </c>
      <c r="E102" s="17" t="s">
        <v>261</v>
      </c>
      <c r="F102" s="3"/>
      <c r="G102" s="3"/>
      <c r="H102" s="3"/>
      <c r="I102" s="3"/>
      <c r="J102" s="3"/>
      <c r="K102" s="3"/>
      <c r="L102" s="3"/>
      <c r="M102" s="2"/>
      <c r="N102" s="2"/>
      <c r="O102" s="2"/>
      <c r="P102" s="2"/>
      <c r="Q102" s="2"/>
      <c r="R102" s="2"/>
      <c r="S102" s="2"/>
      <c r="T102" s="1"/>
      <c r="U102" s="4"/>
    </row>
    <row r="103" spans="1:21" ht="17.25" thickBot="1" x14ac:dyDescent="0.35">
      <c r="A103" s="15" t="s">
        <v>319</v>
      </c>
      <c r="B103" t="str">
        <f>IF(C103="", "", _xlfn.XLOOKUP(C103, 카테고리!A:A, 카테고리!B:B))</f>
        <v>GAME</v>
      </c>
      <c r="C103" s="17" t="s">
        <v>168</v>
      </c>
      <c r="D103" s="16" t="s">
        <v>218</v>
      </c>
      <c r="E103" s="17" t="s">
        <v>287</v>
      </c>
      <c r="F103" s="3"/>
      <c r="G103" s="3"/>
      <c r="H103" s="3"/>
      <c r="I103" s="3"/>
      <c r="J103" s="3"/>
      <c r="K103" s="3"/>
      <c r="L103" s="3"/>
      <c r="M103" s="2"/>
      <c r="N103" s="2"/>
      <c r="O103" s="2"/>
      <c r="P103" s="2"/>
      <c r="Q103" s="2"/>
      <c r="R103" s="2"/>
      <c r="S103" s="2"/>
      <c r="T103" s="1"/>
      <c r="U103" s="4"/>
    </row>
    <row r="104" spans="1:21" ht="17.25" thickBot="1" x14ac:dyDescent="0.35">
      <c r="A104" s="15" t="s">
        <v>319</v>
      </c>
      <c r="B104" t="str">
        <f>IF(C104="", "", _xlfn.XLOOKUP(C104, 카테고리!A:A, 카테고리!B:B))</f>
        <v>GAME</v>
      </c>
      <c r="C104" s="17" t="s">
        <v>191</v>
      </c>
      <c r="D104" s="16" t="s">
        <v>219</v>
      </c>
      <c r="E104" s="19" t="s">
        <v>256</v>
      </c>
      <c r="F104" s="3"/>
      <c r="G104" s="3"/>
      <c r="H104" s="3"/>
      <c r="I104" s="3"/>
      <c r="J104" s="3"/>
      <c r="K104" s="3"/>
      <c r="L104" s="3"/>
      <c r="M104" s="2"/>
      <c r="N104" s="2"/>
      <c r="O104" s="2"/>
      <c r="P104" s="2"/>
      <c r="Q104" s="2"/>
      <c r="R104" s="2"/>
      <c r="S104" s="2"/>
      <c r="T104" s="1"/>
      <c r="U104" s="4"/>
    </row>
    <row r="105" spans="1:21" ht="17.25" thickBot="1" x14ac:dyDescent="0.35">
      <c r="A105" s="15" t="s">
        <v>319</v>
      </c>
      <c r="B105" t="str">
        <f>IF(C105="", "", _xlfn.XLOOKUP(C105, 카테고리!A:A, 카테고리!B:B))</f>
        <v>GAME</v>
      </c>
      <c r="C105" s="17" t="s">
        <v>289</v>
      </c>
      <c r="D105" s="16" t="s">
        <v>220</v>
      </c>
      <c r="E105" s="17" t="s">
        <v>290</v>
      </c>
      <c r="F105" s="3"/>
      <c r="G105" s="3"/>
      <c r="H105" s="3"/>
      <c r="I105" s="3"/>
      <c r="J105" s="3"/>
      <c r="K105" s="3"/>
      <c r="L105" s="3"/>
      <c r="M105" s="2"/>
      <c r="N105" s="2"/>
      <c r="O105" s="2"/>
      <c r="P105" s="2"/>
      <c r="Q105" s="2"/>
      <c r="R105" s="2"/>
      <c r="S105" s="2"/>
      <c r="T105" s="1"/>
      <c r="U105" s="4"/>
    </row>
    <row r="106" spans="1:21" ht="17.25" thickBot="1" x14ac:dyDescent="0.35">
      <c r="A106" s="15" t="s">
        <v>319</v>
      </c>
      <c r="B106" t="str">
        <f>IF(C106="", "", _xlfn.XLOOKUP(C106, 카테고리!A:A, 카테고리!B:B))</f>
        <v>ORIGINAL</v>
      </c>
      <c r="C106" s="17" t="s">
        <v>164</v>
      </c>
      <c r="D106" s="16" t="s">
        <v>221</v>
      </c>
      <c r="E106" s="17" t="s">
        <v>291</v>
      </c>
      <c r="F106" s="3"/>
      <c r="G106" s="3"/>
      <c r="H106" s="3"/>
      <c r="I106" s="3"/>
      <c r="J106" s="3"/>
      <c r="K106" s="3"/>
      <c r="L106" s="3"/>
      <c r="M106" s="2"/>
      <c r="N106" s="2"/>
      <c r="O106" s="2"/>
      <c r="P106" s="2"/>
      <c r="Q106" s="2"/>
      <c r="R106" s="2"/>
      <c r="S106" s="2"/>
      <c r="T106" s="1"/>
      <c r="U106" s="4"/>
    </row>
    <row r="107" spans="1:21" ht="17.25" thickBot="1" x14ac:dyDescent="0.35">
      <c r="A107" s="15" t="s">
        <v>319</v>
      </c>
      <c r="B107" t="str">
        <f>IF(C107="", "", _xlfn.XLOOKUP(C107, 카테고리!A:A, 카테고리!B:B))</f>
        <v>ORIGINAL</v>
      </c>
      <c r="C107" s="17" t="s">
        <v>164</v>
      </c>
      <c r="D107" s="18" t="s">
        <v>292</v>
      </c>
      <c r="E107" s="17" t="s">
        <v>384</v>
      </c>
      <c r="F107" s="3"/>
      <c r="G107" s="3"/>
      <c r="H107" s="3"/>
      <c r="I107" s="3"/>
      <c r="J107" s="3"/>
      <c r="K107" s="3"/>
      <c r="L107" s="3"/>
      <c r="M107" s="2"/>
      <c r="N107" s="2"/>
      <c r="O107" s="2"/>
      <c r="P107" s="2"/>
      <c r="Q107" s="2"/>
      <c r="R107" s="2"/>
      <c r="S107" s="2"/>
      <c r="T107" s="1"/>
      <c r="U107" s="4"/>
    </row>
    <row r="108" spans="1:21" ht="17.25" thickBot="1" x14ac:dyDescent="0.35">
      <c r="A108" s="15" t="s">
        <v>319</v>
      </c>
      <c r="B108" t="str">
        <f>IF(C108="", "", _xlfn.XLOOKUP(C108, 카테고리!A:A, 카테고리!B:B))</f>
        <v>GAME</v>
      </c>
      <c r="C108" s="17" t="s">
        <v>293</v>
      </c>
      <c r="D108" s="16" t="s">
        <v>222</v>
      </c>
      <c r="E108" s="17" t="s">
        <v>294</v>
      </c>
      <c r="F108" s="3"/>
      <c r="G108" s="3"/>
      <c r="H108" s="3"/>
      <c r="I108" s="3"/>
      <c r="J108" s="3"/>
      <c r="K108" s="3"/>
      <c r="L108" s="3"/>
      <c r="M108" s="2"/>
      <c r="N108" s="2"/>
      <c r="O108" s="2"/>
      <c r="P108" s="2"/>
      <c r="Q108" s="2"/>
      <c r="R108" s="2"/>
      <c r="S108" s="2"/>
      <c r="T108" s="1"/>
      <c r="U108" s="4"/>
    </row>
    <row r="109" spans="1:21" ht="17.25" thickBot="1" x14ac:dyDescent="0.35">
      <c r="A109" s="15" t="s">
        <v>319</v>
      </c>
      <c r="B109" t="str">
        <f>IF(C109="", "", _xlfn.XLOOKUP(C109, 카테고리!A:A, 카테고리!B:B))</f>
        <v>J-pop</v>
      </c>
      <c r="C109" s="17" t="s">
        <v>261</v>
      </c>
      <c r="D109" s="16" t="s">
        <v>223</v>
      </c>
      <c r="E109" s="17" t="s">
        <v>261</v>
      </c>
      <c r="F109" s="3"/>
      <c r="G109" s="3"/>
      <c r="H109" s="3"/>
      <c r="I109" s="3"/>
      <c r="J109" s="3"/>
      <c r="K109" s="3"/>
      <c r="L109" s="3"/>
      <c r="M109" s="2"/>
      <c r="N109" s="2"/>
      <c r="O109" s="2"/>
      <c r="P109" s="2"/>
      <c r="Q109" s="2"/>
      <c r="R109" s="2"/>
      <c r="S109" s="2"/>
      <c r="T109" s="1"/>
      <c r="U109" s="4"/>
    </row>
    <row r="110" spans="1:21" ht="17.25" thickBot="1" x14ac:dyDescent="0.35">
      <c r="A110" s="15" t="s">
        <v>319</v>
      </c>
      <c r="B110" t="str">
        <f>IF(C110="", "", _xlfn.XLOOKUP(C110, 카테고리!A:A, 카테고리!B:B))</f>
        <v>K-pop</v>
      </c>
      <c r="C110" s="17" t="s">
        <v>295</v>
      </c>
      <c r="D110" s="16" t="s">
        <v>224</v>
      </c>
      <c r="E110" s="17" t="s">
        <v>295</v>
      </c>
      <c r="F110" s="3"/>
      <c r="G110" s="3"/>
      <c r="H110" s="3"/>
      <c r="I110" s="3"/>
      <c r="J110" s="3"/>
      <c r="K110" s="3"/>
      <c r="L110" s="3"/>
      <c r="M110" s="2"/>
      <c r="N110" s="2"/>
      <c r="O110" s="2"/>
      <c r="P110" s="2"/>
      <c r="Q110" s="2"/>
      <c r="R110" s="2"/>
      <c r="S110" s="2"/>
      <c r="T110" s="1"/>
      <c r="U110" s="4"/>
    </row>
    <row r="111" spans="1:21" ht="17.25" thickBot="1" x14ac:dyDescent="0.35">
      <c r="A111" s="15" t="s">
        <v>319</v>
      </c>
      <c r="B111" t="str">
        <f>IF(C111="", "", _xlfn.XLOOKUP(C111, 카테고리!A:A, 카테고리!B:B))</f>
        <v>K-pop</v>
      </c>
      <c r="C111" s="17" t="s">
        <v>135</v>
      </c>
      <c r="D111" s="16" t="s">
        <v>225</v>
      </c>
      <c r="E111" s="17" t="s">
        <v>135</v>
      </c>
      <c r="F111" s="3"/>
      <c r="G111" s="3"/>
      <c r="H111" s="3"/>
      <c r="I111" s="3"/>
      <c r="J111" s="3"/>
      <c r="K111" s="3"/>
      <c r="L111" s="3"/>
      <c r="M111" s="2"/>
      <c r="N111" s="2"/>
      <c r="O111" s="2"/>
      <c r="P111" s="2"/>
      <c r="Q111" s="2"/>
      <c r="R111" s="2"/>
      <c r="S111" s="2"/>
      <c r="T111" s="1"/>
      <c r="U111" s="4"/>
    </row>
    <row r="112" spans="1:21" ht="17.25" thickBot="1" x14ac:dyDescent="0.35">
      <c r="A112" s="15" t="s">
        <v>319</v>
      </c>
      <c r="B112" t="str">
        <f>IF(C112="", "", _xlfn.XLOOKUP(C112, 카테고리!A:A, 카테고리!B:B))</f>
        <v>GAME</v>
      </c>
      <c r="C112" s="17" t="s">
        <v>130</v>
      </c>
      <c r="D112" s="16" t="s">
        <v>226</v>
      </c>
      <c r="E112" s="17" t="s">
        <v>297</v>
      </c>
      <c r="F112" s="3"/>
      <c r="G112" s="3"/>
      <c r="H112" s="3"/>
      <c r="I112" s="3"/>
      <c r="J112" s="3"/>
      <c r="K112" s="3"/>
      <c r="L112" s="3"/>
      <c r="M112" s="2"/>
      <c r="N112" s="2"/>
      <c r="O112" s="2"/>
      <c r="P112" s="2"/>
      <c r="Q112" s="2"/>
      <c r="R112" s="2"/>
      <c r="S112" s="2"/>
      <c r="T112" s="1"/>
      <c r="U112" s="4"/>
    </row>
    <row r="113" spans="1:21" ht="17.25" thickBot="1" x14ac:dyDescent="0.35">
      <c r="A113" s="15" t="s">
        <v>319</v>
      </c>
      <c r="B113" t="str">
        <f>IF(C113="", "", _xlfn.XLOOKUP(C113, 카테고리!A:A, 카테고리!B:B))</f>
        <v>GAME</v>
      </c>
      <c r="C113" s="17" t="s">
        <v>158</v>
      </c>
      <c r="D113" s="16" t="s">
        <v>227</v>
      </c>
      <c r="E113" s="17" t="s">
        <v>129</v>
      </c>
      <c r="F113" s="3"/>
      <c r="G113" s="3"/>
      <c r="H113" s="3"/>
      <c r="I113" s="3"/>
      <c r="J113" s="3"/>
      <c r="K113" s="3"/>
      <c r="L113" s="3"/>
      <c r="M113" s="2"/>
      <c r="N113" s="2"/>
      <c r="O113" s="2"/>
      <c r="P113" s="2"/>
      <c r="Q113" s="2"/>
      <c r="R113" s="2"/>
      <c r="S113" s="2"/>
      <c r="T113" s="1"/>
      <c r="U113" s="4"/>
    </row>
    <row r="114" spans="1:21" ht="17.25" thickBot="1" x14ac:dyDescent="0.35">
      <c r="A114" s="15" t="s">
        <v>319</v>
      </c>
      <c r="B114" t="str">
        <f>IF(C114="", "", _xlfn.XLOOKUP(C114, 카테고리!A:A, 카테고리!B:B))</f>
        <v>GAME</v>
      </c>
      <c r="C114" s="17" t="s">
        <v>130</v>
      </c>
      <c r="D114" s="16" t="s">
        <v>228</v>
      </c>
      <c r="E114" s="17" t="s">
        <v>298</v>
      </c>
      <c r="F114" s="3"/>
      <c r="G114" s="3"/>
      <c r="H114" s="3"/>
      <c r="I114" s="3"/>
      <c r="J114" s="3"/>
      <c r="K114" s="3"/>
      <c r="L114" s="3"/>
      <c r="M114" s="2"/>
      <c r="N114" s="2"/>
      <c r="O114" s="2"/>
      <c r="P114" s="2"/>
      <c r="Q114" s="2"/>
      <c r="R114" s="2"/>
      <c r="S114" s="2"/>
      <c r="T114" s="1"/>
      <c r="U114" s="4"/>
    </row>
    <row r="115" spans="1:21" ht="17.25" thickBot="1" x14ac:dyDescent="0.35">
      <c r="A115" s="15" t="s">
        <v>319</v>
      </c>
      <c r="B115" t="str">
        <f>IF(C115="", "", _xlfn.XLOOKUP(C115, 카테고리!A:A, 카테고리!B:B))</f>
        <v>GAME</v>
      </c>
      <c r="C115" s="17" t="s">
        <v>130</v>
      </c>
      <c r="D115" s="16" t="s">
        <v>229</v>
      </c>
      <c r="E115" s="17" t="s">
        <v>299</v>
      </c>
      <c r="F115" s="3"/>
      <c r="G115" s="3"/>
      <c r="H115" s="3"/>
      <c r="I115" s="3"/>
      <c r="J115" s="3"/>
      <c r="K115" s="3"/>
      <c r="L115" s="3"/>
      <c r="M115" s="2"/>
      <c r="N115" s="2"/>
      <c r="O115" s="2"/>
      <c r="P115" s="2"/>
      <c r="Q115" s="2"/>
      <c r="R115" s="2"/>
      <c r="S115" s="2"/>
      <c r="T115" s="1"/>
      <c r="U115" s="4"/>
    </row>
    <row r="116" spans="1:21" ht="17.25" thickBot="1" x14ac:dyDescent="0.35">
      <c r="A116" s="15" t="s">
        <v>319</v>
      </c>
      <c r="B116" t="str">
        <f>IF(C116="", "", _xlfn.XLOOKUP(C116, 카테고리!A:A, 카테고리!B:B))</f>
        <v>GAME</v>
      </c>
      <c r="C116" s="17" t="s">
        <v>130</v>
      </c>
      <c r="D116" s="16" t="s">
        <v>230</v>
      </c>
      <c r="E116" s="17" t="s">
        <v>300</v>
      </c>
      <c r="F116" s="3"/>
      <c r="G116" s="3"/>
      <c r="H116" s="3"/>
      <c r="I116" s="3"/>
      <c r="J116" s="3"/>
      <c r="K116" s="3"/>
      <c r="L116" s="3"/>
      <c r="M116" s="2"/>
      <c r="N116" s="2"/>
      <c r="O116" s="2"/>
      <c r="P116" s="2"/>
      <c r="Q116" s="2"/>
      <c r="R116" s="2"/>
      <c r="S116" s="2"/>
      <c r="T116" s="1"/>
      <c r="U116" s="4"/>
    </row>
    <row r="117" spans="1:21" ht="17.25" thickBot="1" x14ac:dyDescent="0.35">
      <c r="A117" s="15" t="s">
        <v>319</v>
      </c>
      <c r="B117" t="str">
        <f>IF(C117="", "", _xlfn.XLOOKUP(C117, 카테고리!A:A, 카테고리!B:B))</f>
        <v>GAME</v>
      </c>
      <c r="C117" s="17" t="s">
        <v>140</v>
      </c>
      <c r="D117" s="16" t="s">
        <v>231</v>
      </c>
      <c r="E117" s="17" t="s">
        <v>308</v>
      </c>
      <c r="F117" s="3"/>
      <c r="G117" s="3"/>
      <c r="H117" s="3"/>
      <c r="I117" s="3"/>
      <c r="J117" s="3"/>
      <c r="K117" s="3"/>
      <c r="L117" s="3"/>
      <c r="M117" s="2"/>
      <c r="N117" s="2"/>
      <c r="O117" s="2"/>
      <c r="P117" s="2"/>
      <c r="Q117" s="2"/>
      <c r="R117" s="2"/>
      <c r="S117" s="2"/>
      <c r="T117" s="1"/>
      <c r="U117" s="4"/>
    </row>
    <row r="118" spans="1:21" ht="17.25" thickBot="1" x14ac:dyDescent="0.35">
      <c r="A118" s="15" t="s">
        <v>319</v>
      </c>
      <c r="B118" t="str">
        <f>IF(C118="", "", _xlfn.XLOOKUP(C118, 카테고리!A:A, 카테고리!B:B))</f>
        <v>J-pop</v>
      </c>
      <c r="C118" s="17" t="s">
        <v>310</v>
      </c>
      <c r="D118" s="16" t="s">
        <v>232</v>
      </c>
      <c r="E118" s="17" t="s">
        <v>309</v>
      </c>
      <c r="F118" s="3"/>
      <c r="G118" s="3"/>
      <c r="H118" s="3"/>
      <c r="I118" s="3"/>
      <c r="J118" s="3"/>
      <c r="K118" s="3"/>
      <c r="L118" s="3"/>
      <c r="M118" s="2"/>
      <c r="N118" s="2"/>
      <c r="O118" s="2"/>
      <c r="P118" s="2"/>
      <c r="Q118" s="2"/>
      <c r="R118" s="2"/>
      <c r="S118" s="2"/>
      <c r="T118" s="1"/>
      <c r="U118" s="4"/>
    </row>
    <row r="119" spans="1:21" ht="17.25" thickBot="1" x14ac:dyDescent="0.35">
      <c r="A119" s="15" t="s">
        <v>319</v>
      </c>
      <c r="B119" t="str">
        <f>IF(C119="", "", _xlfn.XLOOKUP(C119, 카테고리!A:A, 카테고리!B:B))</f>
        <v>J-pop</v>
      </c>
      <c r="C119" s="17" t="s">
        <v>312</v>
      </c>
      <c r="D119" s="16" t="s">
        <v>233</v>
      </c>
      <c r="E119" s="17" t="s">
        <v>312</v>
      </c>
      <c r="F119" s="3"/>
      <c r="G119" s="3"/>
      <c r="H119" s="3"/>
      <c r="I119" s="3"/>
      <c r="J119" s="3"/>
      <c r="K119" s="3"/>
      <c r="L119" s="3"/>
      <c r="M119" s="2"/>
      <c r="N119" s="2"/>
      <c r="O119" s="2"/>
      <c r="P119" s="2"/>
      <c r="Q119" s="2"/>
      <c r="R119" s="2"/>
      <c r="S119" s="2"/>
      <c r="T119" s="1"/>
      <c r="U119" s="4"/>
    </row>
    <row r="120" spans="1:21" ht="17.25" thickBot="1" x14ac:dyDescent="0.35">
      <c r="A120" s="15" t="s">
        <v>319</v>
      </c>
      <c r="B120" t="str">
        <f>IF(C120="", "", _xlfn.XLOOKUP(C120, 카테고리!A:A, 카테고리!B:B))</f>
        <v>VOCALOID</v>
      </c>
      <c r="C120" s="17" t="s">
        <v>136</v>
      </c>
      <c r="D120" s="16" t="s">
        <v>234</v>
      </c>
      <c r="E120" s="17" t="s">
        <v>315</v>
      </c>
      <c r="F120" s="3"/>
      <c r="G120" s="3"/>
      <c r="H120" s="3"/>
      <c r="I120" s="3"/>
      <c r="J120" s="3"/>
      <c r="K120" s="3"/>
      <c r="L120" s="3"/>
      <c r="M120" s="2"/>
      <c r="N120" s="2"/>
      <c r="O120" s="2"/>
      <c r="P120" s="2"/>
      <c r="Q120" s="2"/>
      <c r="R120" s="2"/>
      <c r="S120" s="2"/>
      <c r="T120" s="1"/>
      <c r="U120" s="4"/>
    </row>
    <row r="121" spans="1:21" ht="17.25" thickBot="1" x14ac:dyDescent="0.35">
      <c r="A121" s="15" t="s">
        <v>319</v>
      </c>
      <c r="B121" t="str">
        <f>IF(C121="", "", _xlfn.XLOOKUP(C121, 카테고리!A:A, 카테고리!B:B))</f>
        <v>GAME</v>
      </c>
      <c r="C121" s="17" t="s">
        <v>130</v>
      </c>
      <c r="D121" s="16" t="s">
        <v>235</v>
      </c>
      <c r="E121" s="17" t="s">
        <v>316</v>
      </c>
      <c r="F121" s="3"/>
      <c r="G121" s="3"/>
      <c r="H121" s="3"/>
      <c r="I121" s="3"/>
      <c r="J121" s="3"/>
      <c r="K121" s="3"/>
      <c r="L121" s="3"/>
      <c r="M121" s="2"/>
      <c r="N121" s="2"/>
      <c r="O121" s="2"/>
      <c r="P121" s="2"/>
      <c r="Q121" s="2"/>
      <c r="R121" s="2"/>
      <c r="S121" s="2"/>
      <c r="T121" s="1"/>
      <c r="U121" s="4"/>
    </row>
    <row r="122" spans="1:21" ht="17.25" thickBot="1" x14ac:dyDescent="0.35">
      <c r="A122" s="15" t="s">
        <v>319</v>
      </c>
      <c r="B122" t="str">
        <f>IF(C122="", "", _xlfn.XLOOKUP(C122, 카테고리!A:A, 카테고리!B:B))</f>
        <v>GAME</v>
      </c>
      <c r="C122" s="17" t="s">
        <v>130</v>
      </c>
      <c r="D122" s="16" t="s">
        <v>236</v>
      </c>
      <c r="E122" s="17" t="s">
        <v>317</v>
      </c>
      <c r="F122" s="3"/>
      <c r="G122" s="3"/>
      <c r="H122" s="3"/>
      <c r="I122" s="3"/>
      <c r="J122" s="3"/>
      <c r="K122" s="3"/>
      <c r="L122" s="3"/>
      <c r="M122" s="2"/>
      <c r="N122" s="2"/>
      <c r="O122" s="2"/>
      <c r="P122" s="2"/>
      <c r="Q122" s="2"/>
      <c r="R122" s="2"/>
      <c r="S122" s="2"/>
      <c r="T122" s="1"/>
      <c r="U122" s="4"/>
    </row>
    <row r="123" spans="1:21" ht="17.25" thickBot="1" x14ac:dyDescent="0.35">
      <c r="A123" s="15" t="s">
        <v>319</v>
      </c>
      <c r="B123" t="str">
        <f>IF(C123="", "", _xlfn.XLOOKUP(C123, 카테고리!A:A, 카테고리!B:B))</f>
        <v>J-pop</v>
      </c>
      <c r="C123" s="17" t="s">
        <v>312</v>
      </c>
      <c r="D123" s="16" t="s">
        <v>237</v>
      </c>
      <c r="E123" s="17" t="s">
        <v>312</v>
      </c>
      <c r="F123" s="3"/>
      <c r="G123" s="3"/>
      <c r="H123" s="3"/>
      <c r="I123" s="3"/>
      <c r="J123" s="3"/>
      <c r="K123" s="3"/>
      <c r="L123" s="3"/>
      <c r="M123" s="2"/>
      <c r="N123" s="2"/>
      <c r="O123" s="2"/>
      <c r="P123" s="2"/>
      <c r="Q123" s="2"/>
      <c r="R123" s="2"/>
      <c r="S123" s="2"/>
      <c r="T123" s="1"/>
      <c r="U123" s="4"/>
    </row>
    <row r="124" spans="1:21" ht="17.25" thickBot="1" x14ac:dyDescent="0.35">
      <c r="A124" s="15" t="s">
        <v>319</v>
      </c>
      <c r="B124" t="str">
        <f>IF(C124="", "", _xlfn.XLOOKUP(C124, 카테고리!A:A, 카테고리!B:B))</f>
        <v>GAME</v>
      </c>
      <c r="C124" s="17" t="s">
        <v>165</v>
      </c>
      <c r="D124" s="16" t="s">
        <v>238</v>
      </c>
      <c r="E124" s="17" t="s">
        <v>166</v>
      </c>
      <c r="F124" s="3"/>
      <c r="G124" s="3"/>
      <c r="H124" s="3"/>
      <c r="I124" s="3"/>
      <c r="J124" s="3"/>
      <c r="K124" s="3"/>
      <c r="L124" s="3"/>
      <c r="M124" s="2"/>
      <c r="N124" s="2"/>
      <c r="O124" s="2"/>
      <c r="P124" s="2"/>
      <c r="Q124" s="2"/>
      <c r="R124" s="2"/>
      <c r="S124" s="2"/>
      <c r="T124" s="1"/>
      <c r="U124" s="4"/>
    </row>
    <row r="125" spans="1:21" ht="17.25" thickBot="1" x14ac:dyDescent="0.35">
      <c r="A125" s="15" t="s">
        <v>319</v>
      </c>
      <c r="B125" t="str">
        <f>IF(C125="", "", _xlfn.XLOOKUP(C125, 카테고리!A:A, 카테고리!B:B))</f>
        <v>GAME</v>
      </c>
      <c r="C125" s="17" t="s">
        <v>140</v>
      </c>
      <c r="D125" s="16" t="s">
        <v>239</v>
      </c>
      <c r="E125" s="17" t="s">
        <v>318</v>
      </c>
      <c r="F125" s="3"/>
      <c r="G125" s="3"/>
      <c r="H125" s="3"/>
      <c r="I125" s="3"/>
      <c r="J125" s="3"/>
      <c r="K125" s="3"/>
      <c r="L125" s="3"/>
      <c r="M125" s="2"/>
      <c r="N125" s="2"/>
      <c r="O125" s="2"/>
      <c r="P125" s="2"/>
      <c r="Q125" s="2"/>
      <c r="R125" s="2"/>
      <c r="S125" s="2"/>
      <c r="T125" s="1"/>
      <c r="U125" s="4"/>
    </row>
    <row r="126" spans="1:21" ht="17.25" thickBot="1" x14ac:dyDescent="0.35">
      <c r="A126" s="15" t="s">
        <v>320</v>
      </c>
      <c r="B126" t="str">
        <f>IF(C126="", "", _xlfn.XLOOKUP(C126, 카테고리!A:A, 카테고리!B:B))</f>
        <v>K-pop</v>
      </c>
      <c r="C126" s="17" t="s">
        <v>135</v>
      </c>
      <c r="D126" s="16" t="s">
        <v>240</v>
      </c>
      <c r="E126" s="17" t="s">
        <v>135</v>
      </c>
      <c r="F126" s="3"/>
      <c r="G126" s="3"/>
      <c r="H126" s="3"/>
      <c r="I126" s="3"/>
      <c r="J126" s="3"/>
      <c r="K126" s="3"/>
      <c r="L126" s="3"/>
      <c r="M126" s="2"/>
      <c r="N126" s="2"/>
      <c r="O126" s="2"/>
      <c r="P126" s="2"/>
      <c r="Q126" s="2"/>
      <c r="R126" s="2"/>
      <c r="S126" s="2"/>
      <c r="T126" s="1"/>
      <c r="U126" s="4"/>
    </row>
    <row r="127" spans="1:21" ht="17.25" thickBot="1" x14ac:dyDescent="0.35">
      <c r="A127" s="15" t="s">
        <v>320</v>
      </c>
      <c r="B127" t="str">
        <f>IF(C127="", "", _xlfn.XLOOKUP(C127, 카테고리!A:A, 카테고리!B:B))</f>
        <v>VOCALOID</v>
      </c>
      <c r="C127" s="17" t="s">
        <v>342</v>
      </c>
      <c r="D127" s="16" t="s">
        <v>241</v>
      </c>
      <c r="E127" s="17" t="s">
        <v>187</v>
      </c>
      <c r="F127" s="3"/>
      <c r="G127" s="3"/>
      <c r="H127" s="3"/>
      <c r="I127" s="3"/>
      <c r="J127" s="3"/>
      <c r="K127" s="3"/>
      <c r="L127" s="3"/>
      <c r="M127" s="2"/>
      <c r="N127" s="2"/>
      <c r="O127" s="2"/>
      <c r="P127" s="2"/>
      <c r="Q127" s="2"/>
      <c r="R127" s="2"/>
      <c r="S127" s="2"/>
      <c r="T127" s="1"/>
      <c r="U127" s="4"/>
    </row>
    <row r="128" spans="1:21" ht="17.25" thickBot="1" x14ac:dyDescent="0.35">
      <c r="A128" s="15" t="s">
        <v>320</v>
      </c>
      <c r="B128" t="str">
        <f>IF(C128="", "", _xlfn.XLOOKUP(C128, 카테고리!A:A, 카테고리!B:B))</f>
        <v>GAME</v>
      </c>
      <c r="C128" s="17" t="s">
        <v>158</v>
      </c>
      <c r="D128" s="16" t="s">
        <v>242</v>
      </c>
      <c r="E128" s="17" t="s">
        <v>344</v>
      </c>
      <c r="F128" s="3"/>
      <c r="G128" s="3"/>
      <c r="H128" s="3"/>
      <c r="I128" s="3"/>
      <c r="J128" s="3"/>
      <c r="K128" s="3"/>
      <c r="L128" s="3"/>
      <c r="M128" s="2"/>
      <c r="N128" s="2"/>
      <c r="O128" s="2"/>
      <c r="P128" s="2"/>
      <c r="Q128" s="2"/>
      <c r="R128" s="2"/>
      <c r="S128" s="2"/>
      <c r="T128" s="1"/>
      <c r="U128" s="4"/>
    </row>
    <row r="129" spans="1:21" ht="17.25" thickBot="1" x14ac:dyDescent="0.35">
      <c r="A129" s="15" t="s">
        <v>320</v>
      </c>
      <c r="B129" t="str">
        <f>IF(C129="", "", _xlfn.XLOOKUP(C129, 카테고리!A:A, 카테고리!B:B))</f>
        <v>GAME</v>
      </c>
      <c r="C129" s="17" t="s">
        <v>140</v>
      </c>
      <c r="D129" s="16" t="s">
        <v>243</v>
      </c>
      <c r="E129" s="17" t="s">
        <v>345</v>
      </c>
      <c r="F129" s="3"/>
      <c r="G129" s="3"/>
      <c r="H129" s="3"/>
      <c r="I129" s="3"/>
      <c r="J129" s="3"/>
      <c r="K129" s="3"/>
      <c r="L129" s="3"/>
      <c r="M129" s="2"/>
      <c r="N129" s="2"/>
      <c r="O129" s="2"/>
      <c r="P129" s="2"/>
      <c r="Q129" s="2"/>
      <c r="R129" s="2"/>
      <c r="S129" s="2"/>
      <c r="T129" s="1"/>
      <c r="U129" s="4"/>
    </row>
    <row r="130" spans="1:21" ht="17.25" thickBot="1" x14ac:dyDescent="0.35">
      <c r="A130" s="15" t="s">
        <v>320</v>
      </c>
      <c r="B130" t="str">
        <f>IF(C130="", "", _xlfn.XLOOKUP(C130, 카테고리!A:A, 카테고리!B:B))</f>
        <v>GAME</v>
      </c>
      <c r="C130" s="17" t="s">
        <v>346</v>
      </c>
      <c r="D130" s="16" t="s">
        <v>244</v>
      </c>
      <c r="E130" s="17" t="s">
        <v>347</v>
      </c>
      <c r="F130" s="3"/>
      <c r="G130" s="3"/>
      <c r="H130" s="3"/>
      <c r="I130" s="3"/>
      <c r="J130" s="3"/>
      <c r="K130" s="3"/>
      <c r="L130" s="3"/>
      <c r="M130" s="2"/>
      <c r="N130" s="2"/>
      <c r="O130" s="2"/>
      <c r="P130" s="2"/>
      <c r="Q130" s="2"/>
      <c r="R130" s="2"/>
      <c r="S130" s="2"/>
      <c r="T130" s="1"/>
      <c r="U130" s="4"/>
    </row>
    <row r="131" spans="1:21" ht="17.25" thickBot="1" x14ac:dyDescent="0.35">
      <c r="A131" s="15" t="s">
        <v>320</v>
      </c>
      <c r="B131" t="str">
        <f>IF(C131="", "", _xlfn.XLOOKUP(C131, 카테고리!A:A, 카테고리!B:B))</f>
        <v>GAME</v>
      </c>
      <c r="C131" s="17" t="s">
        <v>349</v>
      </c>
      <c r="D131" s="16" t="s">
        <v>245</v>
      </c>
      <c r="E131" s="17" t="s">
        <v>352</v>
      </c>
      <c r="F131" s="3"/>
      <c r="G131" s="3"/>
      <c r="H131" s="3"/>
      <c r="I131" s="3"/>
      <c r="J131" s="3"/>
      <c r="K131" s="3"/>
      <c r="L131" s="3"/>
      <c r="M131" s="2"/>
      <c r="N131" s="2"/>
      <c r="O131" s="2"/>
      <c r="P131" s="2"/>
      <c r="Q131" s="2"/>
      <c r="R131" s="2"/>
      <c r="S131" s="2"/>
      <c r="T131" s="1"/>
      <c r="U131" s="4"/>
    </row>
    <row r="132" spans="1:21" ht="17.25" thickBot="1" x14ac:dyDescent="0.35">
      <c r="A132" s="15" t="s">
        <v>320</v>
      </c>
      <c r="B132" t="str">
        <f>IF(C132="", "", _xlfn.XLOOKUP(C132, 카테고리!A:A, 카테고리!B:B))</f>
        <v>GAME</v>
      </c>
      <c r="C132" s="19" t="s">
        <v>293</v>
      </c>
      <c r="D132" s="16" t="s">
        <v>246</v>
      </c>
      <c r="E132" s="17" t="s">
        <v>353</v>
      </c>
      <c r="F132" s="3"/>
      <c r="G132" s="3"/>
      <c r="H132" s="3"/>
      <c r="I132" s="3"/>
      <c r="J132" s="3"/>
      <c r="K132" s="3"/>
      <c r="L132" s="3"/>
      <c r="M132" s="2"/>
      <c r="N132" s="2"/>
      <c r="O132" s="2"/>
      <c r="P132" s="2"/>
      <c r="Q132" s="2"/>
      <c r="R132" s="2"/>
      <c r="S132" s="2"/>
      <c r="T132" s="1"/>
      <c r="U132" s="4"/>
    </row>
    <row r="133" spans="1:21" ht="17.25" thickBot="1" x14ac:dyDescent="0.35">
      <c r="A133" s="15" t="s">
        <v>320</v>
      </c>
      <c r="B133" t="str">
        <f>IF(C133="", "", _xlfn.XLOOKUP(C133, 카테고리!A:A, 카테고리!B:B))</f>
        <v>GAME</v>
      </c>
      <c r="C133" s="17" t="s">
        <v>293</v>
      </c>
      <c r="D133" s="16" t="s">
        <v>247</v>
      </c>
      <c r="E133" s="17" t="s">
        <v>355</v>
      </c>
      <c r="F133" s="3"/>
      <c r="G133" s="3"/>
      <c r="H133" s="3"/>
      <c r="I133" s="3"/>
      <c r="J133" s="3"/>
      <c r="K133" s="3"/>
      <c r="L133" s="3"/>
      <c r="M133" s="2"/>
      <c r="N133" s="2"/>
      <c r="O133" s="2"/>
      <c r="P133" s="2"/>
      <c r="Q133" s="2"/>
      <c r="R133" s="2"/>
      <c r="S133" s="2"/>
      <c r="T133" s="1"/>
      <c r="U133" s="4"/>
    </row>
    <row r="134" spans="1:21" ht="17.25" thickBot="1" x14ac:dyDescent="0.35">
      <c r="A134" s="15" t="s">
        <v>320</v>
      </c>
      <c r="B134" t="str">
        <f>IF(C134="", "", _xlfn.XLOOKUP(C134, 카테고리!A:A, 카테고리!B:B))</f>
        <v>GAME</v>
      </c>
      <c r="C134" s="17" t="s">
        <v>138</v>
      </c>
      <c r="D134" s="16" t="s">
        <v>248</v>
      </c>
      <c r="E134" s="17" t="s">
        <v>356</v>
      </c>
      <c r="F134" s="3"/>
      <c r="G134" s="3"/>
      <c r="H134" s="3"/>
      <c r="I134" s="3"/>
      <c r="J134" s="3"/>
      <c r="K134" s="3"/>
      <c r="L134" s="3"/>
      <c r="M134" s="2"/>
      <c r="N134" s="2"/>
      <c r="O134" s="2"/>
      <c r="P134" s="2"/>
      <c r="Q134" s="2"/>
      <c r="R134" s="2"/>
      <c r="S134" s="2"/>
      <c r="T134" s="1"/>
      <c r="U134" s="4"/>
    </row>
    <row r="135" spans="1:21" ht="17.25" thickBot="1" x14ac:dyDescent="0.35">
      <c r="A135" s="15" t="s">
        <v>320</v>
      </c>
      <c r="B135" t="str">
        <f>IF(C135="", "", _xlfn.XLOOKUP(C135, 카테고리!A:A, 카테고리!B:B))</f>
        <v>GAME</v>
      </c>
      <c r="C135" s="17" t="s">
        <v>130</v>
      </c>
      <c r="D135" s="16" t="s">
        <v>249</v>
      </c>
      <c r="E135" s="17" t="s">
        <v>357</v>
      </c>
      <c r="F135" s="3"/>
      <c r="G135" s="3"/>
      <c r="H135" s="3"/>
      <c r="I135" s="3"/>
      <c r="J135" s="3"/>
      <c r="K135" s="3"/>
      <c r="L135" s="3"/>
      <c r="M135" s="2"/>
      <c r="N135" s="2"/>
      <c r="O135" s="2"/>
      <c r="P135" s="2"/>
      <c r="Q135" s="2"/>
      <c r="R135" s="2"/>
      <c r="S135" s="2"/>
      <c r="T135" s="1"/>
      <c r="U135" s="4"/>
    </row>
    <row r="136" spans="1:21" ht="17.25" thickBot="1" x14ac:dyDescent="0.35">
      <c r="A136" s="15" t="s">
        <v>320</v>
      </c>
      <c r="B136" t="str">
        <f>IF(C136="", "", _xlfn.XLOOKUP(C136, 카테고리!A:A, 카테고리!B:B))</f>
        <v>GAME</v>
      </c>
      <c r="C136" s="17" t="s">
        <v>130</v>
      </c>
      <c r="D136" s="16" t="s">
        <v>250</v>
      </c>
      <c r="E136" s="17" t="s">
        <v>358</v>
      </c>
      <c r="F136" s="3"/>
      <c r="G136" s="3"/>
      <c r="H136" s="3"/>
      <c r="I136" s="3"/>
      <c r="J136" s="3"/>
      <c r="K136" s="3"/>
      <c r="L136" s="3"/>
      <c r="M136" s="2"/>
      <c r="N136" s="2"/>
      <c r="O136" s="2"/>
      <c r="P136" s="2"/>
      <c r="Q136" s="2"/>
      <c r="R136" s="2"/>
      <c r="S136" s="2"/>
      <c r="T136" s="1"/>
      <c r="U136" s="4"/>
    </row>
    <row r="137" spans="1:21" ht="17.25" thickBot="1" x14ac:dyDescent="0.35">
      <c r="A137" s="15" t="s">
        <v>320</v>
      </c>
      <c r="B137" t="str">
        <f>IF(C137="", "", _xlfn.XLOOKUP(C137, 카테고리!A:A, 카테고리!B:B))</f>
        <v>GAME</v>
      </c>
      <c r="C137" s="17" t="s">
        <v>130</v>
      </c>
      <c r="D137" s="16" t="s">
        <v>251</v>
      </c>
      <c r="E137" s="17" t="s">
        <v>359</v>
      </c>
      <c r="F137" s="3"/>
      <c r="G137" s="3"/>
      <c r="H137" s="3"/>
      <c r="I137" s="3"/>
      <c r="J137" s="3"/>
      <c r="K137" s="3"/>
      <c r="L137" s="3"/>
      <c r="M137" s="2"/>
      <c r="N137" s="2"/>
      <c r="O137" s="2"/>
      <c r="P137" s="2"/>
      <c r="Q137" s="2"/>
      <c r="R137" s="2"/>
      <c r="S137" s="2"/>
      <c r="T137" s="1"/>
      <c r="U137" s="4"/>
    </row>
    <row r="138" spans="1:21" ht="17.25" thickBot="1" x14ac:dyDescent="0.35">
      <c r="A138" s="15" t="s">
        <v>320</v>
      </c>
      <c r="B138" t="str">
        <f>IF(C138="", "", _xlfn.XLOOKUP(C138, 카테고리!A:A, 카테고리!B:B))</f>
        <v>GAME</v>
      </c>
      <c r="C138" s="17" t="s">
        <v>130</v>
      </c>
      <c r="D138" s="16" t="s">
        <v>252</v>
      </c>
      <c r="E138" s="17" t="s">
        <v>360</v>
      </c>
      <c r="F138" s="3"/>
      <c r="G138" s="3"/>
      <c r="H138" s="3"/>
      <c r="I138" s="3"/>
      <c r="J138" s="3"/>
      <c r="K138" s="3"/>
      <c r="L138" s="3"/>
      <c r="M138" s="2"/>
      <c r="N138" s="2"/>
      <c r="O138" s="2"/>
      <c r="P138" s="2"/>
      <c r="Q138" s="2"/>
      <c r="R138" s="2"/>
      <c r="S138" s="2"/>
      <c r="T138" s="1"/>
      <c r="U138" s="4"/>
    </row>
    <row r="139" spans="1:21" ht="17.25" thickBot="1" x14ac:dyDescent="0.35">
      <c r="A139" s="15" t="s">
        <v>320</v>
      </c>
      <c r="B139" t="str">
        <f>IF(C139="", "", _xlfn.XLOOKUP(C139, 카테고리!A:A, 카테고리!B:B))</f>
        <v>GAME</v>
      </c>
      <c r="C139" s="17" t="s">
        <v>130</v>
      </c>
      <c r="D139" s="16" t="s">
        <v>253</v>
      </c>
      <c r="E139" s="17" t="s">
        <v>348</v>
      </c>
      <c r="F139" s="3"/>
      <c r="G139" s="3"/>
      <c r="H139" s="3"/>
      <c r="I139" s="3"/>
      <c r="J139" s="3"/>
      <c r="K139" s="3"/>
      <c r="L139" s="3"/>
      <c r="M139" s="2"/>
      <c r="N139" s="2"/>
      <c r="O139" s="2"/>
      <c r="P139" s="2"/>
      <c r="Q139" s="2"/>
      <c r="R139" s="2"/>
      <c r="S139" s="2"/>
      <c r="T139" s="1"/>
      <c r="U139" s="4"/>
    </row>
    <row r="140" spans="1:21" ht="17.25" thickBot="1" x14ac:dyDescent="0.35">
      <c r="A140" s="15" t="s">
        <v>320</v>
      </c>
      <c r="B140" t="str">
        <f>IF(C140="", "", _xlfn.XLOOKUP(C140, 카테고리!A:A, 카테고리!B:B))</f>
        <v>GAME</v>
      </c>
      <c r="C140" s="17" t="s">
        <v>130</v>
      </c>
      <c r="D140" s="16" t="s">
        <v>254</v>
      </c>
      <c r="E140" s="17" t="s">
        <v>365</v>
      </c>
      <c r="F140" s="3"/>
      <c r="G140" s="3"/>
      <c r="H140" s="3"/>
      <c r="I140" s="3"/>
      <c r="J140" s="3"/>
      <c r="K140" s="3"/>
      <c r="L140" s="3"/>
      <c r="M140" s="2"/>
      <c r="N140" s="2"/>
      <c r="O140" s="2"/>
      <c r="P140" s="2"/>
      <c r="Q140" s="2"/>
      <c r="R140" s="2"/>
      <c r="S140" s="2"/>
      <c r="T140" s="1"/>
      <c r="U140" s="4"/>
    </row>
    <row r="141" spans="1:21" ht="17.25" thickBot="1" x14ac:dyDescent="0.35">
      <c r="A141" s="15" t="s">
        <v>320</v>
      </c>
      <c r="B141" t="str">
        <f>IF(C141="", "", _xlfn.XLOOKUP(C141, 카테고리!A:A, 카테고리!B:B))</f>
        <v>GAME</v>
      </c>
      <c r="C141" s="17" t="s">
        <v>366</v>
      </c>
      <c r="D141" s="16" t="s">
        <v>255</v>
      </c>
      <c r="E141" s="17" t="s">
        <v>368</v>
      </c>
      <c r="F141" s="8"/>
      <c r="G141" s="8"/>
      <c r="H141" s="8"/>
      <c r="I141" s="8"/>
      <c r="J141" s="8"/>
      <c r="K141" s="8"/>
      <c r="L141" s="8"/>
      <c r="M141" s="9"/>
      <c r="N141" s="9"/>
      <c r="O141" s="9"/>
      <c r="P141" s="9"/>
      <c r="Q141" s="9"/>
      <c r="R141" s="9"/>
      <c r="S141" s="9"/>
      <c r="T141" s="10"/>
      <c r="U141" s="11"/>
    </row>
    <row r="142" spans="1:21" ht="17.25" thickBot="1" x14ac:dyDescent="0.35">
      <c r="A142" s="15" t="s">
        <v>320</v>
      </c>
      <c r="B142" t="str">
        <f>IF(C142="", "", _xlfn.XLOOKUP(C142, 카테고리!A:A, 카테고리!B:B))</f>
        <v>J-pop</v>
      </c>
      <c r="C142" s="17" t="s">
        <v>310</v>
      </c>
      <c r="D142" s="16" t="s">
        <v>321</v>
      </c>
      <c r="E142" s="17" t="s">
        <v>309</v>
      </c>
      <c r="F142" s="3"/>
      <c r="G142" s="3"/>
      <c r="H142" s="3"/>
      <c r="I142" s="3"/>
      <c r="J142" s="3"/>
      <c r="K142" s="3"/>
      <c r="L142" s="3"/>
      <c r="M142" s="2"/>
      <c r="N142" s="2"/>
      <c r="O142" s="2"/>
      <c r="P142" s="2"/>
      <c r="Q142" s="2"/>
      <c r="R142" s="2"/>
      <c r="S142" s="2"/>
      <c r="T142" s="1"/>
      <c r="U142" s="4"/>
    </row>
    <row r="143" spans="1:21" ht="17.25" thickBot="1" x14ac:dyDescent="0.35">
      <c r="A143" s="15" t="s">
        <v>320</v>
      </c>
      <c r="B143" t="str">
        <f>IF(C143="", "", _xlfn.XLOOKUP(C143, 카테고리!A:A, 카테고리!B:B))</f>
        <v>J-pop</v>
      </c>
      <c r="C143" s="17" t="s">
        <v>312</v>
      </c>
      <c r="D143" s="16" t="s">
        <v>322</v>
      </c>
      <c r="E143" s="17" t="s">
        <v>312</v>
      </c>
      <c r="F143" s="3"/>
      <c r="G143" s="3"/>
      <c r="H143" s="3"/>
      <c r="I143" s="3"/>
      <c r="J143" s="3"/>
      <c r="K143" s="3"/>
      <c r="L143" s="3"/>
      <c r="M143" s="2"/>
      <c r="N143" s="2"/>
      <c r="O143" s="2"/>
      <c r="P143" s="2"/>
      <c r="Q143" s="2"/>
      <c r="R143" s="2"/>
      <c r="S143" s="2"/>
      <c r="T143" s="1"/>
      <c r="U143" s="4"/>
    </row>
    <row r="144" spans="1:21" ht="17.25" thickBot="1" x14ac:dyDescent="0.35">
      <c r="A144" s="15" t="s">
        <v>320</v>
      </c>
      <c r="B144" t="str">
        <f>IF(C144="", "", _xlfn.XLOOKUP(C144, 카테고리!A:A, 카테고리!B:B))</f>
        <v>K-pop</v>
      </c>
      <c r="C144" s="17" t="s">
        <v>369</v>
      </c>
      <c r="D144" s="16" t="s">
        <v>323</v>
      </c>
      <c r="E144" s="17" t="s">
        <v>369</v>
      </c>
      <c r="F144" s="3"/>
      <c r="G144" s="3"/>
      <c r="H144" s="3"/>
      <c r="I144" s="3"/>
      <c r="J144" s="3"/>
      <c r="K144" s="3"/>
      <c r="L144" s="3"/>
      <c r="M144" s="2"/>
      <c r="N144" s="2"/>
      <c r="O144" s="2"/>
      <c r="P144" s="2"/>
      <c r="Q144" s="2"/>
      <c r="R144" s="2"/>
      <c r="S144" s="2"/>
      <c r="T144" s="1"/>
      <c r="U144" s="4"/>
    </row>
    <row r="145" spans="1:21" ht="17.25" thickBot="1" x14ac:dyDescent="0.35">
      <c r="A145" s="15" t="s">
        <v>320</v>
      </c>
      <c r="B145" t="str">
        <f>IF(C145="", "", _xlfn.XLOOKUP(C145, 카테고리!A:A, 카테고리!B:B))</f>
        <v>K-pop</v>
      </c>
      <c r="C145" s="17" t="s">
        <v>371</v>
      </c>
      <c r="D145" s="16" t="s">
        <v>324</v>
      </c>
      <c r="E145" s="17" t="s">
        <v>371</v>
      </c>
      <c r="F145" s="3"/>
      <c r="G145" s="3"/>
      <c r="H145" s="3"/>
      <c r="I145" s="3"/>
      <c r="J145" s="3"/>
      <c r="K145" s="3"/>
      <c r="L145" s="3"/>
      <c r="M145" s="2"/>
      <c r="N145" s="2"/>
      <c r="O145" s="2"/>
      <c r="P145" s="2"/>
      <c r="Q145" s="2"/>
      <c r="R145" s="2"/>
      <c r="S145" s="2"/>
      <c r="T145" s="1"/>
      <c r="U145" s="4"/>
    </row>
    <row r="146" spans="1:21" ht="17.25" thickBot="1" x14ac:dyDescent="0.35">
      <c r="A146" s="15" t="s">
        <v>320</v>
      </c>
      <c r="B146" t="str">
        <f>IF(C146="", "", _xlfn.XLOOKUP(C146, 카테고리!A:A, 카테고리!B:B))</f>
        <v>GAME</v>
      </c>
      <c r="C146" s="17" t="s">
        <v>140</v>
      </c>
      <c r="D146" s="16" t="s">
        <v>325</v>
      </c>
      <c r="E146" s="17" t="s">
        <v>193</v>
      </c>
      <c r="F146" s="3"/>
      <c r="G146" s="3"/>
      <c r="H146" s="3"/>
      <c r="I146" s="3"/>
      <c r="J146" s="3"/>
      <c r="K146" s="3"/>
      <c r="L146" s="3"/>
      <c r="M146" s="2"/>
      <c r="N146" s="2"/>
      <c r="O146" s="2"/>
      <c r="P146" s="2"/>
      <c r="Q146" s="2"/>
      <c r="R146" s="2"/>
      <c r="S146" s="2"/>
      <c r="T146" s="1"/>
      <c r="U146" s="4"/>
    </row>
    <row r="147" spans="1:21" ht="17.25" thickBot="1" x14ac:dyDescent="0.35">
      <c r="A147" s="15" t="s">
        <v>320</v>
      </c>
      <c r="B147" t="str">
        <f>IF(C147="", "", _xlfn.XLOOKUP(C147, 카테고리!A:A, 카테고리!B:B))</f>
        <v>VOCALOID</v>
      </c>
      <c r="C147" s="17" t="s">
        <v>136</v>
      </c>
      <c r="D147" s="16" t="s">
        <v>234</v>
      </c>
      <c r="E147" s="17" t="s">
        <v>315</v>
      </c>
      <c r="F147" s="3"/>
      <c r="G147" s="3"/>
      <c r="H147" s="3"/>
      <c r="I147" s="3"/>
      <c r="J147" s="3"/>
      <c r="K147" s="3"/>
      <c r="L147" s="3"/>
      <c r="M147" s="2"/>
      <c r="N147" s="2"/>
      <c r="O147" s="2"/>
      <c r="P147" s="2"/>
      <c r="Q147" s="2"/>
      <c r="R147" s="2"/>
      <c r="S147" s="2"/>
      <c r="T147" s="1"/>
      <c r="U147" s="4"/>
    </row>
    <row r="148" spans="1:21" ht="17.25" thickBot="1" x14ac:dyDescent="0.35">
      <c r="A148" s="15" t="s">
        <v>320</v>
      </c>
      <c r="B148" t="str">
        <f>IF(C148="", "", _xlfn.XLOOKUP(C148, 카테고리!A:A, 카테고리!B:B))</f>
        <v>GAME</v>
      </c>
      <c r="C148" s="17" t="s">
        <v>140</v>
      </c>
      <c r="D148" s="16" t="s">
        <v>326</v>
      </c>
      <c r="E148" s="17" t="s">
        <v>193</v>
      </c>
      <c r="F148" s="3"/>
      <c r="G148" s="3"/>
      <c r="H148" s="3"/>
      <c r="I148" s="3"/>
      <c r="J148" s="3"/>
      <c r="K148" s="3"/>
      <c r="L148" s="3"/>
      <c r="M148" s="2"/>
      <c r="N148" s="2"/>
      <c r="O148" s="2"/>
      <c r="P148" s="2"/>
      <c r="Q148" s="2"/>
      <c r="R148" s="2"/>
      <c r="S148" s="2"/>
      <c r="T148" s="1"/>
      <c r="U148" s="4"/>
    </row>
    <row r="149" spans="1:21" ht="17.25" thickBot="1" x14ac:dyDescent="0.35">
      <c r="A149" s="15" t="s">
        <v>320</v>
      </c>
      <c r="B149" t="str">
        <f>IF(C149="", "", _xlfn.XLOOKUP(C149, 카테고리!A:A, 카테고리!B:B))</f>
        <v>GAME</v>
      </c>
      <c r="C149" t="s">
        <v>21</v>
      </c>
      <c r="D149" s="16" t="s">
        <v>22</v>
      </c>
      <c r="E149" t="s">
        <v>23</v>
      </c>
      <c r="F149" s="3"/>
      <c r="G149" s="3"/>
      <c r="H149" s="3"/>
      <c r="I149" s="3"/>
      <c r="J149" s="3"/>
      <c r="K149" s="3"/>
      <c r="L149" s="3"/>
      <c r="M149" s="2"/>
      <c r="N149" s="2"/>
      <c r="O149" s="2"/>
      <c r="P149" s="2"/>
      <c r="Q149" s="2"/>
      <c r="R149" s="2"/>
      <c r="S149" s="2"/>
      <c r="T149" s="1"/>
      <c r="U149" s="4"/>
    </row>
    <row r="150" spans="1:21" ht="17.25" thickBot="1" x14ac:dyDescent="0.35">
      <c r="A150" s="15" t="s">
        <v>320</v>
      </c>
      <c r="B150" t="str">
        <f>IF(C150="", "", _xlfn.XLOOKUP(C150, 카테고리!A:A, 카테고리!B:B))</f>
        <v>GAME</v>
      </c>
      <c r="C150" s="17" t="s">
        <v>130</v>
      </c>
      <c r="D150" s="16" t="s">
        <v>229</v>
      </c>
      <c r="E150" s="17" t="s">
        <v>299</v>
      </c>
      <c r="F150" s="3"/>
      <c r="G150" s="3"/>
      <c r="H150" s="3"/>
      <c r="I150" s="3"/>
      <c r="J150" s="3"/>
      <c r="K150" s="3"/>
      <c r="L150" s="3"/>
      <c r="M150" s="2"/>
      <c r="N150" s="2"/>
      <c r="O150" s="2"/>
      <c r="P150" s="2"/>
      <c r="Q150" s="2"/>
      <c r="R150" s="2"/>
      <c r="S150" s="2"/>
      <c r="T150" s="1"/>
      <c r="U150" s="4"/>
    </row>
    <row r="151" spans="1:21" ht="17.25" thickBot="1" x14ac:dyDescent="0.35">
      <c r="A151" s="15" t="s">
        <v>320</v>
      </c>
      <c r="B151" t="str">
        <f>IF(C151="", "", _xlfn.XLOOKUP(C151, 카테고리!A:A, 카테고리!B:B))</f>
        <v>GAME</v>
      </c>
      <c r="C151" s="17" t="s">
        <v>130</v>
      </c>
      <c r="D151" s="16" t="s">
        <v>226</v>
      </c>
      <c r="E151" s="17" t="s">
        <v>297</v>
      </c>
      <c r="F151" s="3"/>
      <c r="G151" s="3"/>
      <c r="H151" s="3"/>
      <c r="I151" s="3"/>
      <c r="J151" s="3"/>
      <c r="K151" s="3"/>
      <c r="L151" s="3"/>
      <c r="M151" s="2"/>
      <c r="N151" s="2"/>
      <c r="O151" s="2"/>
      <c r="P151" s="2"/>
      <c r="Q151" s="2"/>
      <c r="R151" s="2"/>
      <c r="S151" s="2"/>
      <c r="T151" s="1"/>
      <c r="U151" s="4"/>
    </row>
    <row r="152" spans="1:21" ht="17.25" thickBot="1" x14ac:dyDescent="0.35">
      <c r="A152" s="15" t="s">
        <v>320</v>
      </c>
      <c r="B152" t="str">
        <f>IF(C152="", "", _xlfn.XLOOKUP(C152, 카테고리!A:A, 카테고리!B:B))</f>
        <v>GAME</v>
      </c>
      <c r="C152" s="17" t="s">
        <v>130</v>
      </c>
      <c r="D152" s="16" t="s">
        <v>327</v>
      </c>
      <c r="E152" s="17" t="s">
        <v>373</v>
      </c>
      <c r="F152" s="3"/>
      <c r="G152" s="3"/>
      <c r="H152" s="3"/>
      <c r="I152" s="3"/>
      <c r="J152" s="3"/>
      <c r="K152" s="3"/>
      <c r="L152" s="3"/>
      <c r="M152" s="2"/>
      <c r="N152" s="2"/>
      <c r="O152" s="2"/>
      <c r="P152" s="2"/>
      <c r="Q152" s="2"/>
      <c r="R152" s="2"/>
      <c r="S152" s="2"/>
      <c r="T152" s="1"/>
      <c r="U152" s="4"/>
    </row>
    <row r="153" spans="1:21" ht="17.25" thickBot="1" x14ac:dyDescent="0.35">
      <c r="A153" s="15" t="s">
        <v>320</v>
      </c>
      <c r="B153" t="str">
        <f>IF(C153="", "", _xlfn.XLOOKUP(C153, 카테고리!A:A, 카테고리!B:B))</f>
        <v>GAME</v>
      </c>
      <c r="C153" s="17" t="s">
        <v>130</v>
      </c>
      <c r="D153" s="16" t="s">
        <v>328</v>
      </c>
      <c r="E153" s="17" t="s">
        <v>374</v>
      </c>
      <c r="F153" s="3"/>
      <c r="G153" s="3"/>
      <c r="H153" s="3"/>
      <c r="I153" s="3"/>
      <c r="J153" s="3"/>
      <c r="K153" s="3"/>
      <c r="L153" s="3"/>
      <c r="M153" s="2"/>
      <c r="N153" s="2"/>
      <c r="O153" s="2"/>
      <c r="P153" s="2"/>
      <c r="Q153" s="2"/>
      <c r="R153" s="2"/>
      <c r="S153" s="2"/>
      <c r="T153" s="1"/>
      <c r="U153" s="4"/>
    </row>
    <row r="154" spans="1:21" ht="17.25" thickBot="1" x14ac:dyDescent="0.35">
      <c r="A154" s="15" t="s">
        <v>320</v>
      </c>
      <c r="B154" t="str">
        <f>IF(C154="", "", _xlfn.XLOOKUP(C154, 카테고리!A:A, 카테고리!B:B))</f>
        <v>GAME</v>
      </c>
      <c r="C154" s="17" t="s">
        <v>130</v>
      </c>
      <c r="D154" s="16" t="s">
        <v>329</v>
      </c>
      <c r="E154" s="17" t="s">
        <v>316</v>
      </c>
      <c r="F154" s="3"/>
      <c r="G154" s="3"/>
      <c r="H154" s="3"/>
      <c r="I154" s="3"/>
      <c r="J154" s="3"/>
      <c r="K154" s="3"/>
      <c r="L154" s="3"/>
      <c r="M154" s="2"/>
      <c r="N154" s="2"/>
      <c r="O154" s="2"/>
      <c r="P154" s="2"/>
      <c r="Q154" s="2"/>
      <c r="R154" s="2"/>
      <c r="S154" s="2"/>
      <c r="T154" s="1"/>
      <c r="U154" s="4"/>
    </row>
    <row r="155" spans="1:21" ht="17.25" thickBot="1" x14ac:dyDescent="0.35">
      <c r="A155" s="15" t="s">
        <v>320</v>
      </c>
      <c r="B155" t="str">
        <f>IF(C155="", "", _xlfn.XLOOKUP(C155, 카테고리!A:A, 카테고리!B:B))</f>
        <v>GAME</v>
      </c>
      <c r="C155" s="17" t="s">
        <v>130</v>
      </c>
      <c r="D155" s="16" t="s">
        <v>330</v>
      </c>
      <c r="E155" s="17" t="s">
        <v>375</v>
      </c>
      <c r="F155" s="3"/>
      <c r="G155" s="3"/>
      <c r="H155" s="3"/>
      <c r="I155" s="3"/>
      <c r="J155" s="3"/>
      <c r="K155" s="3"/>
      <c r="L155" s="3"/>
      <c r="M155" s="2"/>
      <c r="N155" s="2"/>
      <c r="O155" s="2"/>
      <c r="P155" s="2"/>
      <c r="Q155" s="2"/>
      <c r="R155" s="2"/>
      <c r="S155" s="2"/>
      <c r="T155" s="1"/>
      <c r="U155" s="4"/>
    </row>
    <row r="156" spans="1:21" ht="17.25" thickBot="1" x14ac:dyDescent="0.35">
      <c r="A156" s="15" t="s">
        <v>320</v>
      </c>
      <c r="B156" t="str">
        <f>IF(C156="", "", _xlfn.XLOOKUP(C156, 카테고리!A:A, 카테고리!B:B))</f>
        <v>J-pop</v>
      </c>
      <c r="C156" s="17" t="s">
        <v>376</v>
      </c>
      <c r="D156" s="16" t="s">
        <v>331</v>
      </c>
      <c r="E156" s="17" t="s">
        <v>376</v>
      </c>
      <c r="F156" s="3"/>
      <c r="G156" s="3"/>
      <c r="H156" s="3"/>
      <c r="I156" s="3"/>
      <c r="J156" s="3"/>
      <c r="K156" s="3"/>
      <c r="L156" s="3"/>
      <c r="M156" s="2"/>
      <c r="N156" s="2"/>
      <c r="O156" s="2"/>
      <c r="P156" s="2"/>
      <c r="Q156" s="2"/>
      <c r="R156" s="2"/>
      <c r="S156" s="2"/>
      <c r="T156" s="1"/>
      <c r="U156" s="4"/>
    </row>
    <row r="157" spans="1:21" ht="17.25" thickBot="1" x14ac:dyDescent="0.35">
      <c r="A157" s="15" t="s">
        <v>320</v>
      </c>
      <c r="B157" t="str">
        <f>IF(C157="", "", _xlfn.XLOOKUP(C157, 카테고리!A:A, 카테고리!B:B))</f>
        <v>K-pop</v>
      </c>
      <c r="C157" s="17" t="s">
        <v>152</v>
      </c>
      <c r="D157" s="16" t="s">
        <v>332</v>
      </c>
      <c r="E157" s="17" t="s">
        <v>152</v>
      </c>
      <c r="F157" s="3"/>
      <c r="G157" s="3"/>
      <c r="H157" s="3"/>
      <c r="I157" s="3"/>
      <c r="J157" s="3"/>
      <c r="K157" s="3"/>
      <c r="L157" s="3"/>
      <c r="M157" s="2"/>
      <c r="N157" s="2"/>
      <c r="O157" s="2"/>
      <c r="P157" s="2"/>
      <c r="Q157" s="2"/>
      <c r="R157" s="2"/>
      <c r="S157" s="2"/>
      <c r="T157" s="1"/>
      <c r="U157" s="4"/>
    </row>
    <row r="158" spans="1:21" ht="17.25" thickBot="1" x14ac:dyDescent="0.35">
      <c r="A158" s="15" t="s">
        <v>320</v>
      </c>
      <c r="B158" t="str">
        <f>IF(C158="", "", _xlfn.XLOOKUP(C158, 카테고리!A:A, 카테고리!B:B))</f>
        <v>GAME</v>
      </c>
      <c r="C158" s="17" t="s">
        <v>140</v>
      </c>
      <c r="D158" s="16" t="s">
        <v>333</v>
      </c>
      <c r="E158" s="17" t="s">
        <v>193</v>
      </c>
      <c r="F158" s="3"/>
      <c r="G158" s="3"/>
      <c r="H158" s="3"/>
      <c r="I158" s="3"/>
      <c r="J158" s="3"/>
      <c r="K158" s="3"/>
      <c r="L158" s="3"/>
      <c r="M158" s="2"/>
      <c r="N158" s="2"/>
      <c r="O158" s="2"/>
      <c r="P158" s="2"/>
      <c r="Q158" s="2"/>
      <c r="R158" s="2"/>
      <c r="S158" s="2"/>
      <c r="T158" s="1"/>
      <c r="U158" s="4"/>
    </row>
    <row r="159" spans="1:21" ht="17.25" thickBot="1" x14ac:dyDescent="0.35">
      <c r="A159" s="15" t="s">
        <v>320</v>
      </c>
      <c r="B159" t="str">
        <f>IF(C159="", "", _xlfn.XLOOKUP(C159, 카테고리!A:A, 카테고리!B:B))</f>
        <v>GAME</v>
      </c>
      <c r="C159" s="17" t="s">
        <v>140</v>
      </c>
      <c r="D159" s="16" t="s">
        <v>68</v>
      </c>
      <c r="E159" s="17" t="s">
        <v>193</v>
      </c>
      <c r="F159" s="3"/>
      <c r="G159" s="3"/>
      <c r="H159" s="3"/>
      <c r="I159" s="3"/>
      <c r="J159" s="3"/>
      <c r="K159" s="3"/>
      <c r="L159" s="3"/>
      <c r="M159" s="2"/>
      <c r="N159" s="2"/>
      <c r="O159" s="2"/>
      <c r="P159" s="2"/>
      <c r="Q159" s="2"/>
      <c r="R159" s="2"/>
      <c r="S159" s="2"/>
      <c r="T159" s="1"/>
      <c r="U159" s="4"/>
    </row>
    <row r="160" spans="1:21" ht="17.25" thickBot="1" x14ac:dyDescent="0.35">
      <c r="A160" s="15" t="s">
        <v>320</v>
      </c>
      <c r="B160" t="str">
        <f>IF(C160="", "", _xlfn.XLOOKUP(C160, 카테고리!A:A, 카테고리!B:B))</f>
        <v>GAME</v>
      </c>
      <c r="C160" s="12" t="s">
        <v>140</v>
      </c>
      <c r="D160" s="7" t="s">
        <v>85</v>
      </c>
      <c r="E160" s="13" t="s">
        <v>143</v>
      </c>
      <c r="F160" s="3"/>
      <c r="G160" s="3"/>
      <c r="H160" s="3"/>
      <c r="I160" s="3"/>
      <c r="J160" s="3"/>
      <c r="K160" s="3"/>
      <c r="L160" s="3"/>
      <c r="M160" s="2"/>
      <c r="N160" s="2"/>
      <c r="O160" s="2"/>
      <c r="P160" s="2"/>
      <c r="Q160" s="2"/>
      <c r="R160" s="2"/>
      <c r="S160" s="2"/>
      <c r="T160" s="1"/>
      <c r="U160" s="4"/>
    </row>
    <row r="161" spans="1:21" ht="17.25" thickBot="1" x14ac:dyDescent="0.35">
      <c r="A161" s="15" t="s">
        <v>320</v>
      </c>
      <c r="B161" t="str">
        <f>IF(C161="", "", _xlfn.XLOOKUP(C161, 카테고리!A:A, 카테고리!B:B))</f>
        <v>GAME</v>
      </c>
      <c r="C161" s="12" t="s">
        <v>189</v>
      </c>
      <c r="D161" s="7" t="s">
        <v>121</v>
      </c>
      <c r="E161" s="13" t="s">
        <v>136</v>
      </c>
      <c r="F161" s="3"/>
      <c r="G161" s="3"/>
      <c r="H161" s="3"/>
      <c r="I161" s="3"/>
      <c r="J161" s="3"/>
      <c r="K161" s="3"/>
      <c r="L161" s="3"/>
      <c r="M161" s="2"/>
      <c r="N161" s="2"/>
      <c r="O161" s="2"/>
      <c r="P161" s="2"/>
      <c r="Q161" s="2"/>
      <c r="R161" s="2"/>
      <c r="S161" s="2"/>
      <c r="T161" s="1"/>
      <c r="U161" s="4"/>
    </row>
    <row r="162" spans="1:21" ht="17.25" thickBot="1" x14ac:dyDescent="0.35">
      <c r="A162" s="15" t="s">
        <v>320</v>
      </c>
      <c r="B162" t="str">
        <f>IF(C162="", "", _xlfn.XLOOKUP(C162, 카테고리!A:A, 카테고리!B:B))</f>
        <v>GAME</v>
      </c>
      <c r="C162" t="s">
        <v>31</v>
      </c>
      <c r="D162" s="16" t="s">
        <v>334</v>
      </c>
      <c r="E162" s="17" t="s">
        <v>378</v>
      </c>
      <c r="F162" s="3"/>
      <c r="G162" s="3"/>
      <c r="H162" s="3"/>
      <c r="I162" s="3"/>
      <c r="J162" s="3"/>
      <c r="K162" s="3"/>
      <c r="L162" s="3"/>
      <c r="M162" s="2"/>
      <c r="N162" s="2"/>
      <c r="O162" s="2"/>
      <c r="P162" s="2"/>
      <c r="Q162" s="2"/>
      <c r="R162" s="2"/>
      <c r="S162" s="2"/>
      <c r="T162" s="1"/>
      <c r="U162" s="4"/>
    </row>
    <row r="163" spans="1:21" ht="17.25" thickBot="1" x14ac:dyDescent="0.35">
      <c r="A163" s="15" t="s">
        <v>320</v>
      </c>
      <c r="B163" t="str">
        <f>IF(C163="", "", _xlfn.XLOOKUP(C163, 카테고리!A:A, 카테고리!B:B))</f>
        <v>GAME</v>
      </c>
      <c r="C163" s="17" t="s">
        <v>140</v>
      </c>
      <c r="D163" s="16" t="s">
        <v>335</v>
      </c>
      <c r="E163" s="17" t="s">
        <v>379</v>
      </c>
      <c r="F163" s="3"/>
      <c r="G163" s="3"/>
      <c r="H163" s="3"/>
      <c r="I163" s="3"/>
      <c r="J163" s="3"/>
      <c r="K163" s="3"/>
      <c r="L163" s="3"/>
      <c r="M163" s="2"/>
      <c r="N163" s="2"/>
      <c r="O163" s="2"/>
      <c r="P163" s="2"/>
      <c r="Q163" s="2"/>
      <c r="R163" s="2"/>
      <c r="S163" s="2"/>
      <c r="T163" s="1"/>
      <c r="U163" s="4"/>
    </row>
    <row r="164" spans="1:21" ht="17.25" thickBot="1" x14ac:dyDescent="0.35">
      <c r="A164" s="15" t="s">
        <v>320</v>
      </c>
      <c r="B164" t="str">
        <f>IF(C164="", "", _xlfn.XLOOKUP(C164, 카테고리!A:A, 카테고리!B:B))</f>
        <v>GAME</v>
      </c>
      <c r="C164" s="17" t="s">
        <v>130</v>
      </c>
      <c r="D164" s="16" t="s">
        <v>336</v>
      </c>
      <c r="E164" s="17" t="s">
        <v>380</v>
      </c>
      <c r="F164" s="3"/>
      <c r="G164" s="3"/>
      <c r="H164" s="3"/>
      <c r="I164" s="3"/>
      <c r="J164" s="3"/>
      <c r="K164" s="3"/>
      <c r="L164" s="3"/>
      <c r="M164" s="2"/>
      <c r="N164" s="2"/>
      <c r="O164" s="2"/>
      <c r="P164" s="2"/>
      <c r="Q164" s="2"/>
      <c r="R164" s="2"/>
      <c r="S164" s="2"/>
      <c r="T164" s="1"/>
      <c r="U164" s="4"/>
    </row>
    <row r="165" spans="1:21" ht="17.25" thickBot="1" x14ac:dyDescent="0.35">
      <c r="A165" s="15" t="s">
        <v>320</v>
      </c>
      <c r="B165" t="str">
        <f>IF(C165="", "", _xlfn.XLOOKUP(C165, 카테고리!A:A, 카테고리!B:B))</f>
        <v>GAME</v>
      </c>
      <c r="C165" s="17" t="s">
        <v>130</v>
      </c>
      <c r="D165" s="16" t="s">
        <v>337</v>
      </c>
      <c r="E165" s="17" t="s">
        <v>381</v>
      </c>
      <c r="F165" s="3"/>
      <c r="G165" s="3"/>
      <c r="H165" s="3"/>
      <c r="I165" s="3"/>
      <c r="J165" s="3"/>
      <c r="K165" s="3"/>
      <c r="L165" s="3"/>
      <c r="M165" s="2"/>
      <c r="N165" s="2"/>
      <c r="O165" s="2"/>
      <c r="P165" s="2"/>
      <c r="Q165" s="2"/>
      <c r="R165" s="2"/>
      <c r="S165" s="2"/>
      <c r="T165" s="1"/>
      <c r="U165" s="4"/>
    </row>
    <row r="166" spans="1:21" ht="17.25" thickBot="1" x14ac:dyDescent="0.35">
      <c r="A166" s="15" t="s">
        <v>320</v>
      </c>
      <c r="B166" t="str">
        <f>IF(C166="", "", _xlfn.XLOOKUP(C166, 카테고리!A:A, 카테고리!B:B))</f>
        <v>GAME</v>
      </c>
      <c r="C166" s="17" t="s">
        <v>130</v>
      </c>
      <c r="D166" s="16" t="s">
        <v>338</v>
      </c>
      <c r="E166" s="17" t="s">
        <v>185</v>
      </c>
      <c r="F166" s="3"/>
      <c r="G166" s="3"/>
      <c r="H166" s="3"/>
      <c r="I166" s="3"/>
      <c r="J166" s="3"/>
      <c r="K166" s="3"/>
      <c r="L166" s="3"/>
      <c r="M166" s="2"/>
      <c r="N166" s="2"/>
      <c r="O166" s="2"/>
      <c r="P166" s="2"/>
      <c r="Q166" s="2"/>
      <c r="R166" s="2"/>
      <c r="S166" s="2"/>
      <c r="T166" s="1"/>
      <c r="U166" s="4"/>
    </row>
    <row r="167" spans="1:21" ht="17.25" thickBot="1" x14ac:dyDescent="0.35">
      <c r="A167" s="15" t="s">
        <v>320</v>
      </c>
      <c r="B167" t="str">
        <f>IF(C167="", "", _xlfn.XLOOKUP(C167, 카테고리!A:A, 카테고리!B:B))</f>
        <v>GAME</v>
      </c>
      <c r="C167" s="17" t="s">
        <v>130</v>
      </c>
      <c r="D167" s="16" t="s">
        <v>215</v>
      </c>
      <c r="E167" s="17" t="s">
        <v>281</v>
      </c>
      <c r="F167" s="3"/>
      <c r="G167" s="3"/>
      <c r="H167" s="3"/>
      <c r="I167" s="3"/>
      <c r="J167" s="3"/>
      <c r="K167" s="3"/>
      <c r="L167" s="3"/>
      <c r="M167" s="2"/>
      <c r="N167" s="2"/>
      <c r="O167" s="2"/>
      <c r="P167" s="2"/>
      <c r="Q167" s="2"/>
      <c r="R167" s="2"/>
      <c r="S167" s="2"/>
      <c r="T167" s="1"/>
      <c r="U167" s="4"/>
    </row>
    <row r="168" spans="1:21" ht="17.25" thickBot="1" x14ac:dyDescent="0.35">
      <c r="A168" s="15" t="s">
        <v>320</v>
      </c>
      <c r="B168" t="str">
        <f>IF(C168="", "", _xlfn.XLOOKUP(C168, 카테고리!A:A, 카테고리!B:B))</f>
        <v>GAME</v>
      </c>
      <c r="C168" s="17" t="s">
        <v>293</v>
      </c>
      <c r="D168" s="16" t="s">
        <v>339</v>
      </c>
      <c r="E168" s="17" t="s">
        <v>383</v>
      </c>
      <c r="F168" s="3"/>
      <c r="G168" s="3"/>
      <c r="H168" s="3"/>
      <c r="I168" s="3"/>
      <c r="J168" s="3"/>
      <c r="K168" s="3"/>
      <c r="L168" s="3"/>
      <c r="M168" s="2"/>
      <c r="N168" s="2"/>
      <c r="O168" s="2"/>
      <c r="P168" s="2"/>
      <c r="Q168" s="2"/>
      <c r="R168" s="2"/>
      <c r="S168" s="2"/>
      <c r="T168" s="1"/>
      <c r="U168" s="4"/>
    </row>
    <row r="169" spans="1:21" ht="17.25" thickBot="1" x14ac:dyDescent="0.35">
      <c r="A169" s="15" t="s">
        <v>320</v>
      </c>
      <c r="B169" t="str">
        <f>IF(C169="", "", _xlfn.XLOOKUP(C169, 카테고리!A:A, 카테고리!B:B))</f>
        <v>GAME</v>
      </c>
      <c r="C169" s="17" t="s">
        <v>130</v>
      </c>
      <c r="D169" s="18" t="s">
        <v>382</v>
      </c>
      <c r="E169" s="17" t="s">
        <v>386</v>
      </c>
      <c r="F169" s="3"/>
      <c r="G169" s="3"/>
      <c r="H169" s="3"/>
      <c r="I169" s="3"/>
      <c r="J169" s="3"/>
      <c r="K169" s="3"/>
      <c r="L169" s="3"/>
      <c r="M169" s="2"/>
      <c r="N169" s="2"/>
      <c r="O169" s="2"/>
      <c r="P169" s="2"/>
      <c r="Q169" s="2"/>
      <c r="R169" s="2"/>
      <c r="S169" s="2"/>
      <c r="T169" s="1"/>
      <c r="U169" s="4"/>
    </row>
    <row r="170" spans="1:21" ht="17.25" thickBot="1" x14ac:dyDescent="0.35">
      <c r="A170" s="15" t="s">
        <v>320</v>
      </c>
      <c r="B170" t="str">
        <f>IF(C170="", "", _xlfn.XLOOKUP(C170, 카테고리!A:A, 카테고리!B:B))</f>
        <v>GAME</v>
      </c>
      <c r="C170" s="12" t="s">
        <v>128</v>
      </c>
      <c r="D170" s="7" t="s">
        <v>77</v>
      </c>
      <c r="E170" s="13" t="s">
        <v>129</v>
      </c>
      <c r="F170" s="3"/>
      <c r="G170" s="3"/>
      <c r="H170" s="3"/>
      <c r="I170" s="3"/>
      <c r="J170" s="3"/>
      <c r="K170" s="3"/>
      <c r="L170" s="3"/>
      <c r="M170" s="2"/>
      <c r="N170" s="2"/>
      <c r="O170" s="2"/>
      <c r="P170" s="2"/>
      <c r="Q170" s="2"/>
      <c r="R170" s="2"/>
      <c r="S170" s="2"/>
      <c r="T170" s="1"/>
      <c r="U170" s="4"/>
    </row>
    <row r="171" spans="1:21" ht="17.25" thickBot="1" x14ac:dyDescent="0.35">
      <c r="A171" s="15" t="s">
        <v>320</v>
      </c>
      <c r="B171" t="str">
        <f>IF(C171="", "", _xlfn.XLOOKUP(C171, 카테고리!A:A, 카테고리!B:B))</f>
        <v>GAME</v>
      </c>
      <c r="C171" s="17" t="s">
        <v>387</v>
      </c>
      <c r="D171" s="16" t="s">
        <v>340</v>
      </c>
      <c r="E171" s="17" t="s">
        <v>389</v>
      </c>
      <c r="F171" s="3"/>
      <c r="G171" s="3"/>
      <c r="H171" s="3"/>
      <c r="I171" s="3"/>
      <c r="J171" s="3"/>
      <c r="K171" s="3"/>
      <c r="L171" s="3"/>
      <c r="M171" s="2"/>
      <c r="N171" s="2"/>
      <c r="O171" s="2"/>
      <c r="P171" s="2"/>
      <c r="Q171" s="2"/>
      <c r="R171" s="2"/>
      <c r="S171" s="2"/>
      <c r="T171" s="1"/>
      <c r="U171" s="4"/>
    </row>
    <row r="172" spans="1:21" x14ac:dyDescent="0.3">
      <c r="A172" s="15" t="s">
        <v>320</v>
      </c>
      <c r="B172" t="str">
        <f>IF(C172="", "", _xlfn.XLOOKUP(C172, 카테고리!A:A, 카테고리!B:B))</f>
        <v>GAME</v>
      </c>
      <c r="C172" s="17" t="s">
        <v>130</v>
      </c>
      <c r="D172" s="16" t="s">
        <v>341</v>
      </c>
      <c r="E172" s="22" t="s">
        <v>390</v>
      </c>
      <c r="F172" s="8"/>
      <c r="G172" s="8"/>
      <c r="H172" s="8"/>
      <c r="I172" s="8"/>
      <c r="J172" s="8"/>
      <c r="K172" s="8"/>
      <c r="L172" s="8"/>
      <c r="M172" s="9"/>
      <c r="N172" s="9"/>
      <c r="O172" s="9"/>
      <c r="P172" s="9"/>
      <c r="Q172" s="9"/>
      <c r="R172" s="9"/>
      <c r="S172" s="9"/>
      <c r="T172" s="10"/>
      <c r="U172" s="11"/>
    </row>
  </sheetData>
  <phoneticPr fontId="1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64D5-ED2F-4D68-A5BE-15782A6701DD}">
  <dimension ref="A1:C69"/>
  <sheetViews>
    <sheetView workbookViewId="0">
      <selection activeCell="D40" sqref="D40"/>
    </sheetView>
  </sheetViews>
  <sheetFormatPr defaultColWidth="33.25" defaultRowHeight="16.5" x14ac:dyDescent="0.3"/>
  <cols>
    <col min="1" max="1" width="13.875" bestFit="1" customWidth="1"/>
    <col min="2" max="2" width="9.5" bestFit="1" customWidth="1"/>
    <col min="3" max="3" width="6.875" bestFit="1" customWidth="1"/>
  </cols>
  <sheetData>
    <row r="1" spans="1:3" x14ac:dyDescent="0.3">
      <c r="A1" s="20" t="s">
        <v>4</v>
      </c>
      <c r="B1" s="20" t="s">
        <v>2</v>
      </c>
      <c r="C1" s="20" t="s">
        <v>363</v>
      </c>
    </row>
    <row r="2" spans="1:3" x14ac:dyDescent="0.3">
      <c r="A2" s="21" t="s">
        <v>184</v>
      </c>
      <c r="B2" s="21" t="s">
        <v>183</v>
      </c>
      <c r="C2">
        <f>COUNTIF(db!C:C, A2)</f>
        <v>12</v>
      </c>
    </row>
    <row r="3" spans="1:3" x14ac:dyDescent="0.3">
      <c r="A3" s="21" t="s">
        <v>21</v>
      </c>
      <c r="B3" s="21" t="s">
        <v>20</v>
      </c>
      <c r="C3">
        <f>COUNTIF(db!C:C, A3)</f>
        <v>43</v>
      </c>
    </row>
    <row r="4" spans="1:3" x14ac:dyDescent="0.3">
      <c r="A4" s="21" t="s">
        <v>38</v>
      </c>
      <c r="B4" s="21" t="s">
        <v>20</v>
      </c>
      <c r="C4">
        <f>COUNTIF(db!C:C, A4)</f>
        <v>1</v>
      </c>
    </row>
    <row r="5" spans="1:3" x14ac:dyDescent="0.3">
      <c r="A5" s="21" t="s">
        <v>31</v>
      </c>
      <c r="B5" s="21" t="s">
        <v>20</v>
      </c>
      <c r="C5">
        <f>COUNTIF(db!C:C, A5)</f>
        <v>3</v>
      </c>
    </row>
    <row r="6" spans="1:3" x14ac:dyDescent="0.3">
      <c r="A6" s="21" t="s">
        <v>62</v>
      </c>
      <c r="B6" s="21" t="s">
        <v>20</v>
      </c>
      <c r="C6">
        <f>COUNTIF(db!C:C, A6)</f>
        <v>6</v>
      </c>
    </row>
    <row r="7" spans="1:3" x14ac:dyDescent="0.3">
      <c r="A7" s="21" t="s">
        <v>70</v>
      </c>
      <c r="B7" s="21" t="s">
        <v>20</v>
      </c>
      <c r="C7">
        <f>COUNTIF(db!C:C, A7)</f>
        <v>17</v>
      </c>
    </row>
    <row r="8" spans="1:3" x14ac:dyDescent="0.3">
      <c r="A8" s="21" t="s">
        <v>73</v>
      </c>
      <c r="B8" s="21" t="s">
        <v>20</v>
      </c>
      <c r="C8">
        <f>COUNTIF(db!C:C, A8)</f>
        <v>1</v>
      </c>
    </row>
    <row r="9" spans="1:3" x14ac:dyDescent="0.3">
      <c r="A9" s="21" t="s">
        <v>194</v>
      </c>
      <c r="B9" s="21" t="s">
        <v>20</v>
      </c>
      <c r="C9">
        <f>COUNTIF(db!C:C, A9)</f>
        <v>6</v>
      </c>
    </row>
    <row r="10" spans="1:3" x14ac:dyDescent="0.3">
      <c r="A10" s="21" t="s">
        <v>301</v>
      </c>
      <c r="B10" s="21" t="s">
        <v>20</v>
      </c>
      <c r="C10">
        <f>COUNTIF(db!C:C, A10)</f>
        <v>2</v>
      </c>
    </row>
    <row r="11" spans="1:3" x14ac:dyDescent="0.3">
      <c r="A11" s="21" t="s">
        <v>172</v>
      </c>
      <c r="B11" s="21" t="s">
        <v>20</v>
      </c>
      <c r="C11">
        <f>COUNTIF(db!C:C, A11)</f>
        <v>8</v>
      </c>
    </row>
    <row r="12" spans="1:3" x14ac:dyDescent="0.3">
      <c r="A12" s="21" t="s">
        <v>177</v>
      </c>
      <c r="B12" s="21" t="s">
        <v>20</v>
      </c>
      <c r="C12">
        <f>COUNTIF(db!C:C, A12)</f>
        <v>2</v>
      </c>
    </row>
    <row r="13" spans="1:3" x14ac:dyDescent="0.3">
      <c r="A13" s="21" t="s">
        <v>262</v>
      </c>
      <c r="B13" s="21" t="s">
        <v>20</v>
      </c>
      <c r="C13">
        <f>COUNTIF(db!C:C, A13)</f>
        <v>4</v>
      </c>
    </row>
    <row r="14" spans="1:3" x14ac:dyDescent="0.3">
      <c r="A14" s="21" t="s">
        <v>302</v>
      </c>
      <c r="B14" s="21" t="s">
        <v>20</v>
      </c>
      <c r="C14">
        <f>COUNTIF(db!C:C, A14)</f>
        <v>2</v>
      </c>
    </row>
    <row r="15" spans="1:3" x14ac:dyDescent="0.3">
      <c r="A15" s="21" t="s">
        <v>182</v>
      </c>
      <c r="B15" s="21" t="s">
        <v>20</v>
      </c>
      <c r="C15">
        <f>COUNTIF(db!C:C, A15)</f>
        <v>6</v>
      </c>
    </row>
    <row r="16" spans="1:3" x14ac:dyDescent="0.3">
      <c r="A16" s="21" t="s">
        <v>303</v>
      </c>
      <c r="B16" s="21" t="s">
        <v>20</v>
      </c>
      <c r="C16">
        <f>COUNTIF(db!C:C, A16)</f>
        <v>1</v>
      </c>
    </row>
    <row r="17" spans="1:3" x14ac:dyDescent="0.3">
      <c r="A17" s="21" t="s">
        <v>175</v>
      </c>
      <c r="B17" s="21" t="s">
        <v>20</v>
      </c>
      <c r="C17">
        <f>COUNTIF(db!C:C, A17)</f>
        <v>1</v>
      </c>
    </row>
    <row r="18" spans="1:3" x14ac:dyDescent="0.3">
      <c r="A18" s="21" t="s">
        <v>188</v>
      </c>
      <c r="B18" s="21" t="s">
        <v>20</v>
      </c>
      <c r="C18">
        <f>COUNTIF(db!C:C, A18)</f>
        <v>2</v>
      </c>
    </row>
    <row r="19" spans="1:3" x14ac:dyDescent="0.3">
      <c r="A19" s="21" t="s">
        <v>190</v>
      </c>
      <c r="B19" s="21" t="s">
        <v>20</v>
      </c>
      <c r="C19">
        <f>COUNTIF(db!C:C, A19)</f>
        <v>3</v>
      </c>
    </row>
    <row r="20" spans="1:3" x14ac:dyDescent="0.3">
      <c r="A20" s="21" t="s">
        <v>277</v>
      </c>
      <c r="B20" s="21" t="s">
        <v>20</v>
      </c>
      <c r="C20">
        <f>COUNTIF(db!C:C, A20)</f>
        <v>1</v>
      </c>
    </row>
    <row r="21" spans="1:3" x14ac:dyDescent="0.3">
      <c r="A21" s="21" t="s">
        <v>288</v>
      </c>
      <c r="B21" s="21" t="s">
        <v>20</v>
      </c>
      <c r="C21">
        <f>COUNTIF(db!C:C, A21)</f>
        <v>1</v>
      </c>
    </row>
    <row r="22" spans="1:3" x14ac:dyDescent="0.3">
      <c r="A22" s="21" t="s">
        <v>350</v>
      </c>
      <c r="B22" s="21" t="s">
        <v>351</v>
      </c>
      <c r="C22">
        <f>COUNTIF(db!C:C, A22)</f>
        <v>1</v>
      </c>
    </row>
    <row r="23" spans="1:3" x14ac:dyDescent="0.3">
      <c r="A23" s="21" t="s">
        <v>354</v>
      </c>
      <c r="B23" s="21" t="s">
        <v>351</v>
      </c>
      <c r="C23">
        <f>COUNTIF(db!C:C, A23)</f>
        <v>5</v>
      </c>
    </row>
    <row r="24" spans="1:3" x14ac:dyDescent="0.3">
      <c r="A24" s="21" t="s">
        <v>260</v>
      </c>
      <c r="B24" s="21" t="s">
        <v>259</v>
      </c>
      <c r="C24">
        <f>COUNTIF(db!C:C, A24)</f>
        <v>4</v>
      </c>
    </row>
    <row r="25" spans="1:3" x14ac:dyDescent="0.3">
      <c r="A25" s="21" t="s">
        <v>311</v>
      </c>
      <c r="B25" s="21" t="s">
        <v>259</v>
      </c>
      <c r="C25">
        <f>COUNTIF(db!C:C, A25)</f>
        <v>2</v>
      </c>
    </row>
    <row r="26" spans="1:3" x14ac:dyDescent="0.3">
      <c r="A26" s="21" t="s">
        <v>313</v>
      </c>
      <c r="B26" s="21" t="s">
        <v>259</v>
      </c>
      <c r="C26">
        <f>COUNTIF(db!C:C, A26)</f>
        <v>3</v>
      </c>
    </row>
    <row r="27" spans="1:3" x14ac:dyDescent="0.3">
      <c r="A27" s="21" t="s">
        <v>26</v>
      </c>
      <c r="B27" s="21" t="s">
        <v>5</v>
      </c>
      <c r="C27">
        <f>COUNTIF(db!C:C, A27)</f>
        <v>5</v>
      </c>
    </row>
    <row r="28" spans="1:3" x14ac:dyDescent="0.3">
      <c r="A28" s="21" t="s">
        <v>35</v>
      </c>
      <c r="B28" s="21" t="s">
        <v>5</v>
      </c>
      <c r="C28">
        <f>COUNTIF(db!C:C, A28)</f>
        <v>2</v>
      </c>
    </row>
    <row r="29" spans="1:3" x14ac:dyDescent="0.3">
      <c r="A29" s="21" t="s">
        <v>65</v>
      </c>
      <c r="B29" s="21" t="s">
        <v>5</v>
      </c>
      <c r="C29">
        <f>COUNTIF(db!C:C, A29)</f>
        <v>1</v>
      </c>
    </row>
    <row r="30" spans="1:3" x14ac:dyDescent="0.3">
      <c r="A30" s="21" t="s">
        <v>305</v>
      </c>
      <c r="B30" s="21" t="s">
        <v>5</v>
      </c>
      <c r="C30">
        <f>COUNTIF(db!C:C, A30)</f>
        <v>3</v>
      </c>
    </row>
    <row r="31" spans="1:3" x14ac:dyDescent="0.3">
      <c r="A31" s="21" t="s">
        <v>306</v>
      </c>
      <c r="B31" s="21" t="s">
        <v>5</v>
      </c>
      <c r="C31">
        <f>COUNTIF(db!C:C, A31)</f>
        <v>1</v>
      </c>
    </row>
    <row r="32" spans="1:3" x14ac:dyDescent="0.3">
      <c r="A32" s="21" t="s">
        <v>271</v>
      </c>
      <c r="B32" s="21" t="s">
        <v>364</v>
      </c>
      <c r="C32">
        <f>COUNTIF(db!C:C, A32)</f>
        <v>1</v>
      </c>
    </row>
    <row r="33" spans="1:3" x14ac:dyDescent="0.3">
      <c r="A33" s="21" t="s">
        <v>273</v>
      </c>
      <c r="B33" s="21" t="s">
        <v>5</v>
      </c>
      <c r="C33">
        <f>COUNTIF(db!C:C, A33)</f>
        <v>1</v>
      </c>
    </row>
    <row r="34" spans="1:3" x14ac:dyDescent="0.3">
      <c r="A34" s="21" t="s">
        <v>275</v>
      </c>
      <c r="B34" s="21" t="s">
        <v>5</v>
      </c>
      <c r="C34">
        <f>COUNTIF(db!C:C, A34)</f>
        <v>1</v>
      </c>
    </row>
    <row r="35" spans="1:3" x14ac:dyDescent="0.3">
      <c r="A35" s="21" t="s">
        <v>362</v>
      </c>
      <c r="B35" s="21" t="s">
        <v>361</v>
      </c>
      <c r="C35">
        <f>COUNTIF(db!C:C, A35)</f>
        <v>1</v>
      </c>
    </row>
    <row r="36" spans="1:3" x14ac:dyDescent="0.3">
      <c r="A36" s="21" t="s">
        <v>283</v>
      </c>
      <c r="B36" s="21" t="s">
        <v>282</v>
      </c>
      <c r="C36">
        <f>COUNTIF(db!C:C, A36)</f>
        <v>4</v>
      </c>
    </row>
    <row r="37" spans="1:3" x14ac:dyDescent="0.3">
      <c r="A37" s="21" t="s">
        <v>186</v>
      </c>
      <c r="B37" s="21" t="s">
        <v>178</v>
      </c>
      <c r="C37">
        <f>COUNTIF(db!C:C, A37)</f>
        <v>4</v>
      </c>
    </row>
    <row r="38" spans="1:3" x14ac:dyDescent="0.3">
      <c r="A38" s="21" t="s">
        <v>180</v>
      </c>
      <c r="B38" s="21" t="s">
        <v>178</v>
      </c>
      <c r="C38">
        <f>COUNTIF(db!C:C, A38)</f>
        <v>1</v>
      </c>
    </row>
    <row r="39" spans="1:3" x14ac:dyDescent="0.3">
      <c r="A39" s="21" t="s">
        <v>263</v>
      </c>
      <c r="B39" s="21" t="s">
        <v>178</v>
      </c>
      <c r="C39">
        <f>COUNTIF(db!C:C, A39)</f>
        <v>2</v>
      </c>
    </row>
    <row r="40" spans="1:3" x14ac:dyDescent="0.3">
      <c r="A40" s="21" t="s">
        <v>304</v>
      </c>
      <c r="B40" s="21" t="s">
        <v>178</v>
      </c>
      <c r="C40">
        <f>COUNTIF(db!C:C, A40)</f>
        <v>1</v>
      </c>
    </row>
    <row r="41" spans="1:3" x14ac:dyDescent="0.3">
      <c r="A41" s="21" t="s">
        <v>343</v>
      </c>
      <c r="B41" s="21" t="s">
        <v>178</v>
      </c>
      <c r="C41">
        <f>COUNTIF(db!C:C, A41)</f>
        <v>1</v>
      </c>
    </row>
    <row r="42" spans="1:3" x14ac:dyDescent="0.3">
      <c r="A42" s="21" t="s">
        <v>367</v>
      </c>
      <c r="B42" s="21" t="s">
        <v>351</v>
      </c>
      <c r="C42">
        <f>COUNTIF(db!C:C, A42)</f>
        <v>1</v>
      </c>
    </row>
    <row r="43" spans="1:3" x14ac:dyDescent="0.3">
      <c r="A43" s="21" t="s">
        <v>370</v>
      </c>
      <c r="B43" s="21" t="s">
        <v>5</v>
      </c>
      <c r="C43">
        <f>COUNTIF(db!C:C, A43)</f>
        <v>1</v>
      </c>
    </row>
    <row r="44" spans="1:3" x14ac:dyDescent="0.3">
      <c r="A44" s="21" t="s">
        <v>372</v>
      </c>
      <c r="B44" s="21" t="s">
        <v>5</v>
      </c>
      <c r="C44">
        <f>COUNTIF(db!C:C, A44)</f>
        <v>1</v>
      </c>
    </row>
    <row r="45" spans="1:3" x14ac:dyDescent="0.3">
      <c r="A45" s="21" t="s">
        <v>377</v>
      </c>
      <c r="B45" s="21" t="s">
        <v>259</v>
      </c>
      <c r="C45">
        <f>COUNTIF(db!C:C, A45)</f>
        <v>1</v>
      </c>
    </row>
    <row r="46" spans="1:3" x14ac:dyDescent="0.3">
      <c r="A46" s="21" t="s">
        <v>388</v>
      </c>
      <c r="B46" s="21" t="s">
        <v>351</v>
      </c>
      <c r="C46">
        <f>COUNTIF(db!C:C, A46)</f>
        <v>1</v>
      </c>
    </row>
    <row r="47" spans="1:3" x14ac:dyDescent="0.3">
      <c r="C47">
        <f>COUNTIF(db!C:C, A47)</f>
        <v>0</v>
      </c>
    </row>
    <row r="48" spans="1:3" x14ac:dyDescent="0.3">
      <c r="C48">
        <f>COUNTIF(db!C:C, A48)</f>
        <v>0</v>
      </c>
    </row>
    <row r="49" spans="3:3" x14ac:dyDescent="0.3">
      <c r="C49">
        <f>COUNTIF(db!C:C, A49)</f>
        <v>0</v>
      </c>
    </row>
    <row r="50" spans="3:3" x14ac:dyDescent="0.3">
      <c r="C50">
        <f>COUNTIF(db!C:C, A50)</f>
        <v>0</v>
      </c>
    </row>
    <row r="51" spans="3:3" x14ac:dyDescent="0.3">
      <c r="C51">
        <f>COUNTIF(db!C:C, A51)</f>
        <v>0</v>
      </c>
    </row>
    <row r="52" spans="3:3" x14ac:dyDescent="0.3">
      <c r="C52">
        <f>COUNTIF(db!C:C, A52)</f>
        <v>0</v>
      </c>
    </row>
    <row r="53" spans="3:3" x14ac:dyDescent="0.3">
      <c r="C53">
        <f>COUNTIF(db!C:C, A53)</f>
        <v>0</v>
      </c>
    </row>
    <row r="54" spans="3:3" x14ac:dyDescent="0.3">
      <c r="C54">
        <f>COUNTIF(db!C:C, A54)</f>
        <v>0</v>
      </c>
    </row>
    <row r="55" spans="3:3" x14ac:dyDescent="0.3">
      <c r="C55">
        <f>COUNTIF(db!C:C, A55)</f>
        <v>0</v>
      </c>
    </row>
    <row r="56" spans="3:3" x14ac:dyDescent="0.3">
      <c r="C56">
        <f>COUNTIF(db!C:C, A56)</f>
        <v>0</v>
      </c>
    </row>
    <row r="57" spans="3:3" x14ac:dyDescent="0.3">
      <c r="C57">
        <f>COUNTIF(db!C:C, A57)</f>
        <v>0</v>
      </c>
    </row>
    <row r="58" spans="3:3" x14ac:dyDescent="0.3">
      <c r="C58">
        <f>COUNTIF(db!C:C, A58)</f>
        <v>0</v>
      </c>
    </row>
    <row r="59" spans="3:3" x14ac:dyDescent="0.3">
      <c r="C59">
        <f>COUNTIF(db!C:C, A59)</f>
        <v>0</v>
      </c>
    </row>
    <row r="60" spans="3:3" x14ac:dyDescent="0.3">
      <c r="C60">
        <f>COUNTIF(db!C:C, A60)</f>
        <v>0</v>
      </c>
    </row>
    <row r="61" spans="3:3" x14ac:dyDescent="0.3">
      <c r="C61">
        <f>COUNTIF(db!C:C, A61)</f>
        <v>0</v>
      </c>
    </row>
    <row r="62" spans="3:3" x14ac:dyDescent="0.3">
      <c r="C62">
        <f>COUNTIF(db!C:C, A62)</f>
        <v>0</v>
      </c>
    </row>
    <row r="63" spans="3:3" x14ac:dyDescent="0.3">
      <c r="C63">
        <f>COUNTIF(db!C:C, A63)</f>
        <v>0</v>
      </c>
    </row>
    <row r="64" spans="3:3" x14ac:dyDescent="0.3">
      <c r="C64">
        <f>COUNTIF(db!C:C, A64)</f>
        <v>0</v>
      </c>
    </row>
    <row r="65" spans="3:3" x14ac:dyDescent="0.3">
      <c r="C65">
        <f>COUNTIF(db!C:C, A65)</f>
        <v>0</v>
      </c>
    </row>
    <row r="66" spans="3:3" x14ac:dyDescent="0.3">
      <c r="C66">
        <f>COUNTIF(db!C:C, A66)</f>
        <v>0</v>
      </c>
    </row>
    <row r="67" spans="3:3" x14ac:dyDescent="0.3">
      <c r="C67">
        <f>COUNTIF(db!C:C, A67)</f>
        <v>0</v>
      </c>
    </row>
    <row r="68" spans="3:3" x14ac:dyDescent="0.3">
      <c r="C68">
        <f>COUNTIF(db!C:C, A68)</f>
        <v>0</v>
      </c>
    </row>
    <row r="69" spans="3:3" x14ac:dyDescent="0.3">
      <c r="C69">
        <f>COUNTIF(db!C:C, A69)</f>
        <v>0</v>
      </c>
    </row>
  </sheetData>
  <phoneticPr fontId="11" type="noConversion"/>
  <conditionalFormatting sqref="C2:C1048576">
    <cfRule type="dataBar" priority="1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{E3343F43-A012-46E0-9134-FB5ECFE17806}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343F43-A012-46E0-9134-FB5ECFE17806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C2:C1048576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6D569-56A7-4BFF-A9D8-884EE7ACC06D}">
  <dimension ref="A1:E10"/>
  <sheetViews>
    <sheetView tabSelected="1" workbookViewId="0">
      <selection activeCell="C20" sqref="C20"/>
    </sheetView>
  </sheetViews>
  <sheetFormatPr defaultRowHeight="16.5" x14ac:dyDescent="0.3"/>
  <sheetData>
    <row r="1" spans="1:5" x14ac:dyDescent="0.3">
      <c r="A1" t="s">
        <v>4</v>
      </c>
      <c r="B1" t="s">
        <v>0</v>
      </c>
      <c r="C1" t="s">
        <v>1</v>
      </c>
      <c r="D1" t="s">
        <v>391</v>
      </c>
      <c r="E1" t="s">
        <v>392</v>
      </c>
    </row>
    <row r="2" spans="1:5" x14ac:dyDescent="0.3">
      <c r="A2" t="s">
        <v>21</v>
      </c>
      <c r="B2" t="s">
        <v>22</v>
      </c>
      <c r="C2" t="s">
        <v>23</v>
      </c>
      <c r="D2" t="s">
        <v>393</v>
      </c>
      <c r="E2" t="s">
        <v>394</v>
      </c>
    </row>
    <row r="3" spans="1:5" x14ac:dyDescent="0.3">
      <c r="A3" t="s">
        <v>21</v>
      </c>
      <c r="B3" t="s">
        <v>229</v>
      </c>
      <c r="C3" t="s">
        <v>58</v>
      </c>
      <c r="D3" t="s">
        <v>393</v>
      </c>
      <c r="E3" t="s">
        <v>394</v>
      </c>
    </row>
    <row r="4" spans="1:5" x14ac:dyDescent="0.3">
      <c r="A4" t="s">
        <v>21</v>
      </c>
      <c r="B4" t="s">
        <v>226</v>
      </c>
      <c r="C4" t="s">
        <v>296</v>
      </c>
      <c r="D4" t="s">
        <v>393</v>
      </c>
      <c r="E4" t="s">
        <v>394</v>
      </c>
    </row>
    <row r="5" spans="1:5" x14ac:dyDescent="0.3">
      <c r="A5" t="s">
        <v>21</v>
      </c>
      <c r="B5" t="s">
        <v>215</v>
      </c>
      <c r="C5" t="s">
        <v>280</v>
      </c>
      <c r="D5" t="s">
        <v>393</v>
      </c>
      <c r="E5" t="s">
        <v>394</v>
      </c>
    </row>
    <row r="6" spans="1:5" x14ac:dyDescent="0.3">
      <c r="A6" t="s">
        <v>70</v>
      </c>
      <c r="B6" t="s">
        <v>68</v>
      </c>
      <c r="C6" t="s">
        <v>192</v>
      </c>
      <c r="D6" t="s">
        <v>393</v>
      </c>
      <c r="E6" t="s">
        <v>394</v>
      </c>
    </row>
    <row r="7" spans="1:5" x14ac:dyDescent="0.3">
      <c r="A7" t="s">
        <v>70</v>
      </c>
      <c r="B7" t="s">
        <v>85</v>
      </c>
      <c r="C7" t="s">
        <v>395</v>
      </c>
      <c r="D7" t="s">
        <v>393</v>
      </c>
      <c r="E7" t="s">
        <v>394</v>
      </c>
    </row>
    <row r="8" spans="1:5" x14ac:dyDescent="0.3">
      <c r="A8" t="s">
        <v>186</v>
      </c>
      <c r="B8" t="s">
        <v>234</v>
      </c>
      <c r="C8" t="s">
        <v>314</v>
      </c>
      <c r="D8" t="s">
        <v>393</v>
      </c>
      <c r="E8" t="s">
        <v>394</v>
      </c>
    </row>
    <row r="9" spans="1:5" x14ac:dyDescent="0.3">
      <c r="A9" t="s">
        <v>194</v>
      </c>
      <c r="B9" t="s">
        <v>77</v>
      </c>
      <c r="C9" t="s">
        <v>40</v>
      </c>
      <c r="D9" t="s">
        <v>393</v>
      </c>
      <c r="E9" t="s">
        <v>394</v>
      </c>
    </row>
    <row r="10" spans="1:5" x14ac:dyDescent="0.3">
      <c r="A10" t="s">
        <v>188</v>
      </c>
      <c r="B10" t="s">
        <v>121</v>
      </c>
      <c r="C10" t="s">
        <v>186</v>
      </c>
      <c r="D10" t="s">
        <v>393</v>
      </c>
      <c r="E10" t="s">
        <v>394</v>
      </c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1</Pages>
  <Words>0</Words>
  <Characters>0</Characters>
  <Application>Microsoft Excel</Application>
  <DocSecurity>0</DocSecurity>
  <Lines>0</Lines>
  <Paragraphs>0</Paragraphs>
  <MMClips>0</MMClips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db</vt:lpstr>
      <vt:lpstr>카테고리</vt:lpstr>
      <vt:lpstr>Sheet2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김용섭</dc:creator>
  <cp:lastModifiedBy>김용섭</cp:lastModifiedBy>
  <cp:revision>3</cp:revision>
  <dcterms:modified xsi:type="dcterms:W3CDTF">2026-05-25T10:45:18Z</dcterms:modified>
</cp:coreProperties>
</file>